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defaultThemeVersion="124226"/>
  <xr:revisionPtr revIDLastSave="0" documentId="13_ncr:1_{63E28765-2AB9-4E8D-9D92-FB5C7AF4FF0C}" xr6:coauthVersionLast="47" xr6:coauthVersionMax="47" xr10:uidLastSave="{00000000-0000-0000-0000-000000000000}"/>
  <bookViews>
    <workbookView xWindow="-120" yWindow="-120" windowWidth="19440" windowHeight="15600" activeTab="2" xr2:uid="{00000000-000D-0000-FFFF-FFFF00000000}"/>
  </bookViews>
  <sheets>
    <sheet name="data" sheetId="1" r:id="rId1"/>
    <sheet name="pivot table" sheetId="2" r:id="rId2"/>
    <sheet name="dashboard" sheetId="3" r:id="rId3"/>
  </sheets>
  <definedNames>
    <definedName name="Slicer_BMI_Category">#N/A</definedName>
  </definedNames>
  <calcPr calcId="125725" iterateDelta="1E-4"/>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<sst xmlns="http://schemas.openxmlformats.org/spreadsheetml/2006/main" count="266" uniqueCount="32">
  <si>
    <t>Person ID</t>
  </si>
  <si>
    <t>Age</t>
  </si>
  <si>
    <t>Gender</t>
  </si>
  <si>
    <t>Weight (kg)</t>
  </si>
  <si>
    <t>Height (cm)</t>
  </si>
  <si>
    <t>BMI</t>
  </si>
  <si>
    <t>Daily Calories</t>
  </si>
  <si>
    <t>Water Intake (L)</t>
  </si>
  <si>
    <t>Exercise (hrs/week)</t>
  </si>
  <si>
    <t>Sleep (hrs/day)</t>
  </si>
  <si>
    <t>BMI Category</t>
  </si>
  <si>
    <t>Female</t>
  </si>
  <si>
    <t>Overweight</t>
  </si>
  <si>
    <t>Normal</t>
  </si>
  <si>
    <t>Obese</t>
  </si>
  <si>
    <t>Male</t>
  </si>
  <si>
    <t>Underweight</t>
  </si>
  <si>
    <t>Row Labels</t>
  </si>
  <si>
    <t>Grand Total</t>
  </si>
  <si>
    <t>Values</t>
  </si>
  <si>
    <t>Count of Person ID</t>
  </si>
  <si>
    <t>Average of BMI</t>
  </si>
  <si>
    <t>Average of Daily Calories</t>
  </si>
  <si>
    <t>Average of Exercise (hrs/week)</t>
  </si>
  <si>
    <t>Average of Sleep (hrs/day)</t>
  </si>
  <si>
    <t>18-23</t>
  </si>
  <si>
    <t>24-29</t>
  </si>
  <si>
    <t>30-35</t>
  </si>
  <si>
    <t>36-41</t>
  </si>
  <si>
    <t>42-47</t>
  </si>
  <si>
    <t>48-53</t>
  </si>
  <si>
    <t>54-60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</si>
</sst>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FFFFFF"/>
      <name val="Calibri"/>
      <charset val="1"/>
    </font>
    <font>
      <sz val="10"/>
      <color rgb="FF1A1A2E"/>
      <name val="Calibri"/>
      <charset val="1"/>
    </font>
    <font>
      <sz val="11"/>
      <color theme="1"/>
      <name val="Calibri"/>
      <family val="2"/>
      <charset val="1"/>
    </font>
  </fonts>
  <fills count="5">
    <fill>
      <patternFill patternType="none"/>
    </fill>
    <fill>
      <patternFill patternType="gray125"/>
    </fill>
    <fill>
      <patternFill patternType="solid">
        <fgColor rgb="FF1E3A5F"/>
        <bgColor rgb="FF1E40AF"/>
      </patternFill>
    </fill>
    <fill>
      <patternFill patternType="solid">
        <fgColor rgb="FFF0F4FA"/>
        <bgColor rgb="FFEEF2F8"/>
      </patternFill>
    </fill>
    <fill>
      <patternFill patternType="solid">
        <fgColor rgb="FFFFFFFF"/>
        <bgColor rgb="FFF9F9F9"/>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3" fillId="0" borderId="0"/>
  </cellStyleXfs>
  <cellXfs count="16">
    <xf numFmtId="0" fontId="0" fillId="0" borderId="0" xfId="0"/>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4" borderId="2" xfId="0" applyFont="1" applyFill="1" applyBorder="1" applyAlignment="1">
      <alignment horizontal="center" vertical="center"/>
    </xf>
    <xf numFmtId="0" fontId="0" fillId="0" borderId="3" xfId="0" applyBorder="1"/>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0" fillId="0" borderId="9" xfId="0" applyBorder="1"/>
    <xf numFmtId="0" fontId="0" fillId="0" borderId="0" xfId="0" applyAlignment="1">
      <alignment horizontal="left"/>
    </xf>
    <xf numFmtId="0" fontId="0" fillId="0" borderId="0" xfId="0" applyAlignment="1">
      <alignment horizontal="left" indent="1"/>
    </xf>
    <xf numFmtId="0" fontId="0" fillId="0" borderId="0" xfId="0" pivotButton="1"/>
    <xf numFmtId="0" fontId="0" fillId="0" borderId="0" xfId="0" applyAlignment="1">
      <alignment horizontal="left" indent="2"/>
    </xf>
  </cellXfs>
  <cellStyles count="2">
    <cellStyle name="Normal" xfId="0" builtinId="0"/>
    <cellStyle name="Normal 2" xfId="1" xr:uid="{B81FB4BF-E110-4481-87F5-DFF64E7479C1}"/>
  </cellStyles>
  <dxfs count="16">
    <dxf>
      <font>
        <b val="0"/>
        <i val="0"/>
        <strike val="0"/>
        <condense val="0"/>
        <extend val="0"/>
        <outline val="0"/>
        <shadow val="0"/>
        <u val="none"/>
        <vertAlign val="baseline"/>
        <sz val="11"/>
        <color theme="1"/>
        <name val="Calibri"/>
        <scheme val="minor"/>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rgb="FF1A1A2E"/>
        <name val="Calibri"/>
        <scheme val="none"/>
      </font>
      <fill>
        <patternFill patternType="solid">
          <fgColor rgb="FFEEF2F8"/>
          <bgColor rgb="FFF0F4FA"/>
        </patternFill>
      </fill>
      <alignment horizontal="center" vertical="center" textRotation="0" wrapText="0" relative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1A1A2E"/>
        <name val="Calibri"/>
        <scheme val="none"/>
      </font>
      <fill>
        <patternFill patternType="solid">
          <fgColor rgb="FFEEF2F8"/>
          <bgColor rgb="FFF0F4FA"/>
        </patternFill>
      </fill>
      <alignment horizontal="center" vertical="center" textRotation="0" wrapText="0" relative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1A1A2E"/>
        <name val="Calibri"/>
        <scheme val="none"/>
      </font>
      <fill>
        <patternFill patternType="solid">
          <fgColor rgb="FFEEF2F8"/>
          <bgColor rgb="FFF0F4FA"/>
        </patternFill>
      </fill>
      <alignment horizontal="center" vertical="center" textRotation="0" wrapText="0" relative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1A1A2E"/>
        <name val="Calibri"/>
        <scheme val="none"/>
      </font>
      <fill>
        <patternFill patternType="solid">
          <fgColor rgb="FFEEF2F8"/>
          <bgColor rgb="FFF0F4FA"/>
        </patternFill>
      </fill>
      <alignment horizontal="center" vertical="center" textRotation="0" wrapText="0" relative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1A1A2E"/>
        <name val="Calibri"/>
        <scheme val="none"/>
      </font>
      <fill>
        <patternFill patternType="solid">
          <fgColor rgb="FFEEF2F8"/>
          <bgColor rgb="FFF0F4FA"/>
        </patternFill>
      </fill>
      <alignment horizontal="center" vertical="center" textRotation="0" wrapText="0" relative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1A1A2E"/>
        <name val="Calibri"/>
        <scheme val="none"/>
      </font>
      <fill>
        <patternFill patternType="solid">
          <fgColor rgb="FFEEF2F8"/>
          <bgColor rgb="FFF0F4FA"/>
        </patternFill>
      </fill>
      <alignment horizontal="center" vertical="center" textRotation="0" wrapText="0" relative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1A1A2E"/>
        <name val="Calibri"/>
        <scheme val="none"/>
      </font>
      <fill>
        <patternFill patternType="solid">
          <fgColor rgb="FFEEF2F8"/>
          <bgColor rgb="FFF0F4FA"/>
        </patternFill>
      </fill>
      <alignment horizontal="center" vertical="center" textRotation="0" wrapText="0" relative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1A1A2E"/>
        <name val="Calibri"/>
        <scheme val="none"/>
      </font>
      <fill>
        <patternFill patternType="solid">
          <fgColor rgb="FFEEF2F8"/>
          <bgColor rgb="FFF0F4FA"/>
        </patternFill>
      </fill>
      <alignment horizontal="center" vertical="center" textRotation="0" wrapText="0" relative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1A1A2E"/>
        <name val="Calibri"/>
        <scheme val="none"/>
      </font>
      <fill>
        <patternFill patternType="solid">
          <fgColor rgb="FFEEF2F8"/>
          <bgColor rgb="FFF0F4FA"/>
        </patternFill>
      </fill>
      <alignment horizontal="center" vertical="center" textRotation="0" wrapText="0" relative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1A1A2E"/>
        <name val="Calibri"/>
        <scheme val="none"/>
      </font>
      <fill>
        <patternFill patternType="solid">
          <fgColor rgb="FFEEF2F8"/>
          <bgColor rgb="FFF0F4FA"/>
        </patternFill>
      </fill>
      <alignment horizontal="center" vertical="center" textRotation="0" wrapText="0" relative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1A1A2E"/>
        <name val="Calibri"/>
        <scheme val="none"/>
      </font>
      <fill>
        <patternFill patternType="solid">
          <fgColor rgb="FFEEF2F8"/>
          <bgColor rgb="FFF0F4FA"/>
        </patternFill>
      </fill>
      <alignment horizontal="center" vertical="center" textRotation="0" wrapText="0" relativeIndent="0" justifyLastLine="0" shrinkToFit="0" readingOrder="0"/>
    </dxf>
    <dxf>
      <border outline="0">
        <bottom style="thin">
          <color indexed="64"/>
        </bottom>
      </border>
    </dxf>
    <dxf>
      <font>
        <b/>
        <i val="0"/>
        <strike val="0"/>
        <condense val="0"/>
        <extend val="0"/>
        <outline val="0"/>
        <shadow val="0"/>
        <u val="none"/>
        <vertAlign val="baseline"/>
        <sz val="10"/>
        <color rgb="FFFFFFFF"/>
        <name val="Calibri"/>
        <scheme val="none"/>
      </font>
      <fill>
        <patternFill patternType="solid">
          <fgColor rgb="FF1E40AF"/>
          <bgColor rgb="FF1E3A5F"/>
        </patternFill>
      </fill>
      <alignment horizontal="center" vertical="center" textRotation="0" wrapText="0" relative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[nutrition 123.xlsx]pivot table!PivotTable3</c:name>
    <c:fmtId val="4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table'!$G$14:$G$15</c:f>
              <c:strCache>
                <c:ptCount val="1"/>
                <c:pt idx="0">
                  <c:v>Average of BMI</c:v>
                </c:pt>
              </c:strCache>
            </c:strRef>
          </c:tx>
          <c:spPr>
            <a:solidFill>
              <a:schemeClr val="accent1"/>
            </a:solidFill>
            <a:ln>
              <a:noFill/>
            </a:ln>
            <a:effectLst/>
          </c:spPr>
          <c:invertIfNegative val="0"/>
          <c:cat>
            <c:strRef>
              <c:f>'pivot table'!$F$16:$F$18</c:f>
              <c:strCache>
                <c:ptCount val="2"/>
                <c:pt idx="0">
                  <c:v>Female</c:v>
                </c:pt>
                <c:pt idx="1">
                  <c:v>Male</c:v>
                </c:pt>
              </c:strCache>
            </c:strRef>
          </c:cat>
          <c:val>
            <c:numRef>
              <c:f>'pivot table'!$G$16:$G$18</c:f>
              <c:numCache>
                <c:formatCode>General</c:formatCode>
                <c:ptCount val="2"/>
                <c:pt idx="0">
                  <c:v>26.376315789473686</c:v>
                </c:pt>
                <c:pt idx="1">
                  <c:v>26.248936170212758</c:v>
                </c:pt>
              </c:numCache>
            </c:numRef>
          </c:val>
          <c:extLst>
            <c:ext xmlns:c16="http://schemas.microsoft.com/office/drawing/2014/chart" uri="{C3380CC4-5D6E-409C-BE32-E72D297353CC}">
              <c16:uniqueId val="{00000000-D289-48AF-BF03-62E129BB89B5}"/>
            </c:ext>
          </c:extLst>
        </c:ser>
        <c:ser>
          <c:idx val="1"/>
          <c:order val="1"/>
          <c:tx>
            <c:strRef>
              <c:f>'pivot table'!$H$14:$H$15</c:f>
              <c:strCache>
                <c:ptCount val="1"/>
                <c:pt idx="0">
                  <c:v>Average of Sleep (hrs/day)</c:v>
                </c:pt>
              </c:strCache>
            </c:strRef>
          </c:tx>
          <c:spPr>
            <a:solidFill>
              <a:schemeClr val="accent2"/>
            </a:solidFill>
            <a:ln>
              <a:noFill/>
            </a:ln>
            <a:effectLst/>
          </c:spPr>
          <c:invertIfNegative val="0"/>
          <c:cat>
            <c:strRef>
              <c:f>'pivot table'!$F$16:$F$18</c:f>
              <c:strCache>
                <c:ptCount val="2"/>
                <c:pt idx="0">
                  <c:v>Female</c:v>
                </c:pt>
                <c:pt idx="1">
                  <c:v>Male</c:v>
                </c:pt>
              </c:strCache>
            </c:strRef>
          </c:cat>
          <c:val>
            <c:numRef>
              <c:f>'pivot table'!$H$16:$H$18</c:f>
              <c:numCache>
                <c:formatCode>General</c:formatCode>
                <c:ptCount val="2"/>
                <c:pt idx="0">
                  <c:v>6.7210526315789476</c:v>
                </c:pt>
                <c:pt idx="1">
                  <c:v>6.8489361702127658</c:v>
                </c:pt>
              </c:numCache>
            </c:numRef>
          </c:val>
          <c:extLst>
            <c:ext xmlns:c16="http://schemas.microsoft.com/office/drawing/2014/chart" uri="{C3380CC4-5D6E-409C-BE32-E72D297353CC}">
              <c16:uniqueId val="{00000001-D289-48AF-BF03-62E129BB89B5}"/>
            </c:ext>
          </c:extLst>
        </c:ser>
        <c:ser>
          <c:idx val="2"/>
          <c:order val="2"/>
          <c:tx>
            <c:strRef>
              <c:f>'pivot table'!$I$14:$I$15</c:f>
              <c:strCache>
                <c:ptCount val="1"/>
                <c:pt idx="0">
                  <c:v>Average of Exercise (hrs/week)</c:v>
                </c:pt>
              </c:strCache>
            </c:strRef>
          </c:tx>
          <c:spPr>
            <a:solidFill>
              <a:schemeClr val="accent3"/>
            </a:solidFill>
            <a:ln>
              <a:noFill/>
            </a:ln>
            <a:effectLst/>
          </c:spPr>
          <c:invertIfNegative val="0"/>
          <c:cat>
            <c:strRef>
              <c:f>'pivot table'!$F$16:$F$18</c:f>
              <c:strCache>
                <c:ptCount val="2"/>
                <c:pt idx="0">
                  <c:v>Female</c:v>
                </c:pt>
                <c:pt idx="1">
                  <c:v>Male</c:v>
                </c:pt>
              </c:strCache>
            </c:strRef>
          </c:cat>
          <c:val>
            <c:numRef>
              <c:f>'pivot table'!$I$16:$I$18</c:f>
              <c:numCache>
                <c:formatCode>General</c:formatCode>
                <c:ptCount val="2"/>
                <c:pt idx="0">
                  <c:v>5.3789473684210529</c:v>
                </c:pt>
                <c:pt idx="1">
                  <c:v>5.285106382978725</c:v>
                </c:pt>
              </c:numCache>
            </c:numRef>
          </c:val>
          <c:extLst>
            <c:ext xmlns:c16="http://schemas.microsoft.com/office/drawing/2014/chart" uri="{C3380CC4-5D6E-409C-BE32-E72D297353CC}">
              <c16:uniqueId val="{00000002-D289-48AF-BF03-62E129BB89B5}"/>
            </c:ext>
          </c:extLst>
        </c:ser>
        <c:dLbls>
          <c:showLegendKey val="0"/>
          <c:showVal val="0"/>
          <c:showCatName val="0"/>
          <c:showSerName val="0"/>
          <c:showPercent val="0"/>
          <c:showBubbleSize val="0"/>
        </c:dLbls>
        <c:gapWidth val="219"/>
        <c:overlap val="-27"/>
        <c:axId val="548407464"/>
        <c:axId val="548406024"/>
      </c:barChart>
      <c:catAx>
        <c:axId val="548407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406024"/>
        <c:crosses val="autoZero"/>
        <c:auto val="1"/>
        <c:lblAlgn val="ctr"/>
        <c:lblOffset val="100"/>
        <c:noMultiLvlLbl val="0"/>
      </c:catAx>
      <c:valAx>
        <c:axId val="548406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407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[nutrition 123.xlsx]pivot table!PivotTable4</c:name>
    <c:fmtId val="5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table'!$G$35:$G$36</c:f>
              <c:strCache>
                <c:ptCount val="1"/>
                <c:pt idx="0">
                  <c:v>Average of Sleep (hrs/day)</c:v>
                </c:pt>
              </c:strCache>
            </c:strRef>
          </c:tx>
          <c:spPr>
            <a:solidFill>
              <a:schemeClr val="accent1"/>
            </a:solidFill>
            <a:ln>
              <a:noFill/>
            </a:ln>
            <a:effectLst/>
          </c:spPr>
          <c:invertIfNegative val="0"/>
          <c:cat>
            <c:strRef>
              <c:f>'pivot table'!$F$37:$F$44</c:f>
              <c:strCache>
                <c:ptCount val="7"/>
                <c:pt idx="0">
                  <c:v>18-23</c:v>
                </c:pt>
                <c:pt idx="1">
                  <c:v>24-29</c:v>
                </c:pt>
                <c:pt idx="2">
                  <c:v>30-35</c:v>
                </c:pt>
                <c:pt idx="3">
                  <c:v>36-41</c:v>
                </c:pt>
                <c:pt idx="4">
                  <c:v>42-47</c:v>
                </c:pt>
                <c:pt idx="5">
                  <c:v>48-53</c:v>
                </c:pt>
                <c:pt idx="6">
                  <c:v>54-60</c:v>
                </c:pt>
              </c:strCache>
            </c:strRef>
          </c:cat>
          <c:val>
            <c:numRef>
              <c:f>'pivot table'!$G$37:$G$44</c:f>
              <c:numCache>
                <c:formatCode>General</c:formatCode>
                <c:ptCount val="7"/>
                <c:pt idx="0">
                  <c:v>6.988235294117648</c:v>
                </c:pt>
                <c:pt idx="1">
                  <c:v>5.9928571428571429</c:v>
                </c:pt>
                <c:pt idx="2">
                  <c:v>6.4888888888888889</c:v>
                </c:pt>
                <c:pt idx="3">
                  <c:v>6.8666666666666663</c:v>
                </c:pt>
                <c:pt idx="4">
                  <c:v>7.4874999999999998</c:v>
                </c:pt>
                <c:pt idx="5">
                  <c:v>6.8684210526315788</c:v>
                </c:pt>
                <c:pt idx="6">
                  <c:v>7.1111111111111107</c:v>
                </c:pt>
              </c:numCache>
            </c:numRef>
          </c:val>
          <c:extLst>
            <c:ext xmlns:c16="http://schemas.microsoft.com/office/drawing/2014/chart" uri="{C3380CC4-5D6E-409C-BE32-E72D297353CC}">
              <c16:uniqueId val="{00000000-12A4-4A2D-A720-C811A06D1804}"/>
            </c:ext>
          </c:extLst>
        </c:ser>
        <c:ser>
          <c:idx val="1"/>
          <c:order val="1"/>
          <c:tx>
            <c:strRef>
              <c:f>'pivot table'!$H$35:$H$36</c:f>
              <c:strCache>
                <c:ptCount val="1"/>
                <c:pt idx="0">
                  <c:v>Average of Exercise (hrs/week)</c:v>
                </c:pt>
              </c:strCache>
            </c:strRef>
          </c:tx>
          <c:spPr>
            <a:solidFill>
              <a:schemeClr val="accent2"/>
            </a:solidFill>
            <a:ln>
              <a:noFill/>
            </a:ln>
            <a:effectLst/>
          </c:spPr>
          <c:invertIfNegative val="0"/>
          <c:cat>
            <c:strRef>
              <c:f>'pivot table'!$F$37:$F$44</c:f>
              <c:strCache>
                <c:ptCount val="7"/>
                <c:pt idx="0">
                  <c:v>18-23</c:v>
                </c:pt>
                <c:pt idx="1">
                  <c:v>24-29</c:v>
                </c:pt>
                <c:pt idx="2">
                  <c:v>30-35</c:v>
                </c:pt>
                <c:pt idx="3">
                  <c:v>36-41</c:v>
                </c:pt>
                <c:pt idx="4">
                  <c:v>42-47</c:v>
                </c:pt>
                <c:pt idx="5">
                  <c:v>48-53</c:v>
                </c:pt>
                <c:pt idx="6">
                  <c:v>54-60</c:v>
                </c:pt>
              </c:strCache>
            </c:strRef>
          </c:cat>
          <c:val>
            <c:numRef>
              <c:f>'pivot table'!$H$37:$H$44</c:f>
              <c:numCache>
                <c:formatCode>General</c:formatCode>
                <c:ptCount val="7"/>
                <c:pt idx="0">
                  <c:v>6.3941176470588248</c:v>
                </c:pt>
                <c:pt idx="1">
                  <c:v>4.8071428571428569</c:v>
                </c:pt>
                <c:pt idx="2">
                  <c:v>3.3777777777777778</c:v>
                </c:pt>
                <c:pt idx="3">
                  <c:v>4.5222222222222221</c:v>
                </c:pt>
                <c:pt idx="4">
                  <c:v>7.1875</c:v>
                </c:pt>
                <c:pt idx="5">
                  <c:v>5.3842105263157887</c:v>
                </c:pt>
                <c:pt idx="6">
                  <c:v>5.1000000000000005</c:v>
                </c:pt>
              </c:numCache>
            </c:numRef>
          </c:val>
          <c:extLst>
            <c:ext xmlns:c16="http://schemas.microsoft.com/office/drawing/2014/chart" uri="{C3380CC4-5D6E-409C-BE32-E72D297353CC}">
              <c16:uniqueId val="{00000001-12A4-4A2D-A720-C811A06D1804}"/>
            </c:ext>
          </c:extLst>
        </c:ser>
        <c:dLbls>
          <c:showLegendKey val="0"/>
          <c:showVal val="0"/>
          <c:showCatName val="0"/>
          <c:showSerName val="0"/>
          <c:showPercent val="0"/>
          <c:showBubbleSize val="0"/>
        </c:dLbls>
        <c:gapWidth val="182"/>
        <c:axId val="477692456"/>
        <c:axId val="656300976"/>
      </c:barChart>
      <c:catAx>
        <c:axId val="477692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300976"/>
        <c:crosses val="autoZero"/>
        <c:auto val="1"/>
        <c:lblAlgn val="ctr"/>
        <c:lblOffset val="100"/>
        <c:noMultiLvlLbl val="0"/>
      </c:catAx>
      <c:valAx>
        <c:axId val="656300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692456"/>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[nutrition 123.xlsx]pivot table!PivotTable1</c:name>
    <c:fmtId val="4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table'!$G$2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C2-4334-BD5C-560E5423C6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C2-4334-BD5C-560E5423C67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4C2-4334-BD5C-560E5423C67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4C2-4334-BD5C-560E5423C6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table'!$F$3:$F$7</c:f>
              <c:strCache>
                <c:ptCount val="4"/>
                <c:pt idx="0">
                  <c:v>Normal</c:v>
                </c:pt>
                <c:pt idx="1">
                  <c:v>Obese</c:v>
                </c:pt>
                <c:pt idx="2">
                  <c:v>Overweight</c:v>
                </c:pt>
                <c:pt idx="3">
                  <c:v>Underweight</c:v>
                </c:pt>
              </c:strCache>
            </c:strRef>
          </c:cat>
          <c:val>
            <c:numRef>
              <c:f>'pivot table'!$G$3:$G$7</c:f>
              <c:numCache>
                <c:formatCode>General</c:formatCode>
                <c:ptCount val="4"/>
                <c:pt idx="0">
                  <c:v>27</c:v>
                </c:pt>
                <c:pt idx="1">
                  <c:v>24</c:v>
                </c:pt>
                <c:pt idx="2">
                  <c:v>22</c:v>
                </c:pt>
                <c:pt idx="3">
                  <c:v>12</c:v>
                </c:pt>
              </c:numCache>
            </c:numRef>
          </c:val>
          <c:extLst>
            <c:ext xmlns:c16="http://schemas.microsoft.com/office/drawing/2014/chart" uri="{C3380CC4-5D6E-409C-BE32-E72D297353CC}">
              <c16:uniqueId val="{00000008-14C2-4334-BD5C-560E5423C67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1182261538693059"/>
          <c:y val="0.59648190330281026"/>
          <c:w val="0.13448277948609899"/>
          <c:h val="0.263550134130187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[nutrition 123.xlsx]pivot table!PivotTable2</c:name>
    <c:fmtId val="6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37577999443342"/>
          <c:y val="0.11593042395124338"/>
          <c:w val="0.72037694718034817"/>
          <c:h val="0.79669380310512028"/>
        </c:manualLayout>
      </c:layout>
      <c:barChart>
        <c:barDir val="bar"/>
        <c:grouping val="clustered"/>
        <c:varyColors val="0"/>
        <c:ser>
          <c:idx val="0"/>
          <c:order val="0"/>
          <c:tx>
            <c:strRef>
              <c:f>'pivot table'!$B$2:$B$3</c:f>
              <c:strCache>
                <c:ptCount val="1"/>
                <c:pt idx="0">
                  <c:v>Average of BMI</c:v>
                </c:pt>
              </c:strCache>
            </c:strRef>
          </c:tx>
          <c:spPr>
            <a:solidFill>
              <a:schemeClr val="accent1"/>
            </a:solidFill>
            <a:ln>
              <a:noFill/>
            </a:ln>
            <a:effectLst/>
          </c:spPr>
          <c:invertIfNegative val="0"/>
          <c:cat>
            <c:multiLvlStrRef>
              <c:f>'pivot table'!$A$4:$A$57</c:f>
              <c:multiLvlStrCache>
                <c:ptCount val="41"/>
                <c:lvl>
                  <c:pt idx="0">
                    <c:v>18-23</c:v>
                  </c:pt>
                  <c:pt idx="1">
                    <c:v>24-29</c:v>
                  </c:pt>
                  <c:pt idx="2">
                    <c:v>30-35</c:v>
                  </c:pt>
                  <c:pt idx="3">
                    <c:v>36-41</c:v>
                  </c:pt>
                  <c:pt idx="4">
                    <c:v>48-53</c:v>
                  </c:pt>
                  <c:pt idx="5">
                    <c:v>54-60</c:v>
                  </c:pt>
                  <c:pt idx="6">
                    <c:v>18-23</c:v>
                  </c:pt>
                  <c:pt idx="7">
                    <c:v>24-29</c:v>
                  </c:pt>
                  <c:pt idx="8">
                    <c:v>30-35</c:v>
                  </c:pt>
                  <c:pt idx="9">
                    <c:v>42-47</c:v>
                  </c:pt>
                  <c:pt idx="10">
                    <c:v>48-53</c:v>
                  </c:pt>
                  <c:pt idx="11">
                    <c:v>54-60</c:v>
                  </c:pt>
                  <c:pt idx="12">
                    <c:v>18-23</c:v>
                  </c:pt>
                  <c:pt idx="13">
                    <c:v>30-35</c:v>
                  </c:pt>
                  <c:pt idx="14">
                    <c:v>36-41</c:v>
                  </c:pt>
                  <c:pt idx="15">
                    <c:v>48-53</c:v>
                  </c:pt>
                  <c:pt idx="16">
                    <c:v>54-60</c:v>
                  </c:pt>
                  <c:pt idx="17">
                    <c:v>18-23</c:v>
                  </c:pt>
                  <c:pt idx="18">
                    <c:v>24-29</c:v>
                  </c:pt>
                  <c:pt idx="19">
                    <c:v>30-35</c:v>
                  </c:pt>
                  <c:pt idx="20">
                    <c:v>42-47</c:v>
                  </c:pt>
                  <c:pt idx="21">
                    <c:v>48-53</c:v>
                  </c:pt>
                  <c:pt idx="22">
                    <c:v>54-60</c:v>
                  </c:pt>
                  <c:pt idx="23">
                    <c:v>24-29</c:v>
                  </c:pt>
                  <c:pt idx="24">
                    <c:v>36-41</c:v>
                  </c:pt>
                  <c:pt idx="25">
                    <c:v>48-53</c:v>
                  </c:pt>
                  <c:pt idx="26">
                    <c:v>54-60</c:v>
                  </c:pt>
                  <c:pt idx="27">
                    <c:v>18-23</c:v>
                  </c:pt>
                  <c:pt idx="28">
                    <c:v>24-29</c:v>
                  </c:pt>
                  <c:pt idx="29">
                    <c:v>36-41</c:v>
                  </c:pt>
                  <c:pt idx="30">
                    <c:v>42-47</c:v>
                  </c:pt>
                  <c:pt idx="31">
                    <c:v>48-53</c:v>
                  </c:pt>
                  <c:pt idx="32">
                    <c:v>54-60</c:v>
                  </c:pt>
                  <c:pt idx="33">
                    <c:v>18-23</c:v>
                  </c:pt>
                  <c:pt idx="34">
                    <c:v>30-35</c:v>
                  </c:pt>
                  <c:pt idx="35">
                    <c:v>42-47</c:v>
                  </c:pt>
                  <c:pt idx="36">
                    <c:v>24-29</c:v>
                  </c:pt>
                  <c:pt idx="37">
                    <c:v>30-35</c:v>
                  </c:pt>
                  <c:pt idx="38">
                    <c:v>36-41</c:v>
                  </c:pt>
                  <c:pt idx="39">
                    <c:v>42-47</c:v>
                  </c:pt>
                  <c:pt idx="40">
                    <c:v>48-53</c:v>
                  </c:pt>
                </c:lvl>
                <c:lvl>
                  <c:pt idx="0">
                    <c:v>Female</c:v>
                  </c:pt>
                  <c:pt idx="6">
                    <c:v>Male</c:v>
                  </c:pt>
                  <c:pt idx="12">
                    <c:v>Female</c:v>
                  </c:pt>
                  <c:pt idx="17">
                    <c:v>Male</c:v>
                  </c:pt>
                  <c:pt idx="23">
                    <c:v>Female</c:v>
                  </c:pt>
                  <c:pt idx="27">
                    <c:v>Male</c:v>
                  </c:pt>
                  <c:pt idx="33">
                    <c:v>Female</c:v>
                  </c:pt>
                  <c:pt idx="36">
                    <c:v>Male</c:v>
                  </c:pt>
                </c:lvl>
                <c:lvl>
                  <c:pt idx="0">
                    <c:v>Normal</c:v>
                  </c:pt>
                  <c:pt idx="12">
                    <c:v>Obese</c:v>
                  </c:pt>
                  <c:pt idx="23">
                    <c:v>Overweight</c:v>
                  </c:pt>
                  <c:pt idx="33">
                    <c:v>Underweight</c:v>
                  </c:pt>
                </c:lvl>
              </c:multiLvlStrCache>
            </c:multiLvlStrRef>
          </c:cat>
          <c:val>
            <c:numRef>
              <c:f>'pivot table'!$B$4:$B$57</c:f>
              <c:numCache>
                <c:formatCode>General</c:formatCode>
                <c:ptCount val="41"/>
                <c:pt idx="0">
                  <c:v>20.866666666666667</c:v>
                </c:pt>
                <c:pt idx="1">
                  <c:v>20.880000000000003</c:v>
                </c:pt>
                <c:pt idx="2">
                  <c:v>24.5</c:v>
                </c:pt>
                <c:pt idx="3">
                  <c:v>23.6</c:v>
                </c:pt>
                <c:pt idx="4">
                  <c:v>21.25</c:v>
                </c:pt>
                <c:pt idx="5">
                  <c:v>19.100000000000001</c:v>
                </c:pt>
                <c:pt idx="6">
                  <c:v>22.333333333333332</c:v>
                </c:pt>
                <c:pt idx="7">
                  <c:v>21.049999999999997</c:v>
                </c:pt>
                <c:pt idx="8">
                  <c:v>22.8</c:v>
                </c:pt>
                <c:pt idx="9">
                  <c:v>24</c:v>
                </c:pt>
                <c:pt idx="10">
                  <c:v>22.8</c:v>
                </c:pt>
                <c:pt idx="11">
                  <c:v>21.15</c:v>
                </c:pt>
                <c:pt idx="12">
                  <c:v>39.549999999999997</c:v>
                </c:pt>
                <c:pt idx="13">
                  <c:v>33.233333333333327</c:v>
                </c:pt>
                <c:pt idx="14">
                  <c:v>32.200000000000003</c:v>
                </c:pt>
                <c:pt idx="15">
                  <c:v>35.466666666666669</c:v>
                </c:pt>
                <c:pt idx="16">
                  <c:v>33.450000000000003</c:v>
                </c:pt>
                <c:pt idx="17">
                  <c:v>36</c:v>
                </c:pt>
                <c:pt idx="18">
                  <c:v>37.299999999999997</c:v>
                </c:pt>
                <c:pt idx="19">
                  <c:v>38.700000000000003</c:v>
                </c:pt>
                <c:pt idx="20">
                  <c:v>33.533333333333339</c:v>
                </c:pt>
                <c:pt idx="21">
                  <c:v>37.85</c:v>
                </c:pt>
                <c:pt idx="22">
                  <c:v>32.700000000000003</c:v>
                </c:pt>
                <c:pt idx="23">
                  <c:v>25.3</c:v>
                </c:pt>
                <c:pt idx="24">
                  <c:v>26.75</c:v>
                </c:pt>
                <c:pt idx="25">
                  <c:v>28.8</c:v>
                </c:pt>
                <c:pt idx="26">
                  <c:v>29.1</c:v>
                </c:pt>
                <c:pt idx="27">
                  <c:v>27.466666666666669</c:v>
                </c:pt>
                <c:pt idx="28">
                  <c:v>25.9</c:v>
                </c:pt>
                <c:pt idx="29">
                  <c:v>28.15</c:v>
                </c:pt>
                <c:pt idx="30">
                  <c:v>26.9</c:v>
                </c:pt>
                <c:pt idx="31">
                  <c:v>27.433333333333334</c:v>
                </c:pt>
                <c:pt idx="32">
                  <c:v>27</c:v>
                </c:pt>
                <c:pt idx="33">
                  <c:v>18.100000000000001</c:v>
                </c:pt>
                <c:pt idx="34">
                  <c:v>17.899999999999999</c:v>
                </c:pt>
                <c:pt idx="35">
                  <c:v>16.2</c:v>
                </c:pt>
                <c:pt idx="36">
                  <c:v>16.833333333333332</c:v>
                </c:pt>
                <c:pt idx="37">
                  <c:v>18</c:v>
                </c:pt>
                <c:pt idx="38">
                  <c:v>16.200000000000003</c:v>
                </c:pt>
                <c:pt idx="39">
                  <c:v>18.3</c:v>
                </c:pt>
                <c:pt idx="40">
                  <c:v>16.850000000000001</c:v>
                </c:pt>
              </c:numCache>
            </c:numRef>
          </c:val>
          <c:extLst>
            <c:ext xmlns:c16="http://schemas.microsoft.com/office/drawing/2014/chart" uri="{C3380CC4-5D6E-409C-BE32-E72D297353CC}">
              <c16:uniqueId val="{00000000-C3F1-419B-96BB-2A4491279B69}"/>
            </c:ext>
          </c:extLst>
        </c:ser>
        <c:ser>
          <c:idx val="1"/>
          <c:order val="1"/>
          <c:tx>
            <c:strRef>
              <c:f>'pivot table'!$C$2:$C$3</c:f>
              <c:strCache>
                <c:ptCount val="1"/>
                <c:pt idx="0">
                  <c:v>Average of Daily Calories</c:v>
                </c:pt>
              </c:strCache>
            </c:strRef>
          </c:tx>
          <c:spPr>
            <a:solidFill>
              <a:schemeClr val="accent2"/>
            </a:solidFill>
            <a:ln>
              <a:noFill/>
            </a:ln>
            <a:effectLst/>
          </c:spPr>
          <c:invertIfNegative val="0"/>
          <c:cat>
            <c:multiLvlStrRef>
              <c:f>'pivot table'!$A$4:$A$57</c:f>
              <c:multiLvlStrCache>
                <c:ptCount val="41"/>
                <c:lvl>
                  <c:pt idx="0">
                    <c:v>18-23</c:v>
                  </c:pt>
                  <c:pt idx="1">
                    <c:v>24-29</c:v>
                  </c:pt>
                  <c:pt idx="2">
                    <c:v>30-35</c:v>
                  </c:pt>
                  <c:pt idx="3">
                    <c:v>36-41</c:v>
                  </c:pt>
                  <c:pt idx="4">
                    <c:v>48-53</c:v>
                  </c:pt>
                  <c:pt idx="5">
                    <c:v>54-60</c:v>
                  </c:pt>
                  <c:pt idx="6">
                    <c:v>18-23</c:v>
                  </c:pt>
                  <c:pt idx="7">
                    <c:v>24-29</c:v>
                  </c:pt>
                  <c:pt idx="8">
                    <c:v>30-35</c:v>
                  </c:pt>
                  <c:pt idx="9">
                    <c:v>42-47</c:v>
                  </c:pt>
                  <c:pt idx="10">
                    <c:v>48-53</c:v>
                  </c:pt>
                  <c:pt idx="11">
                    <c:v>54-60</c:v>
                  </c:pt>
                  <c:pt idx="12">
                    <c:v>18-23</c:v>
                  </c:pt>
                  <c:pt idx="13">
                    <c:v>30-35</c:v>
                  </c:pt>
                  <c:pt idx="14">
                    <c:v>36-41</c:v>
                  </c:pt>
                  <c:pt idx="15">
                    <c:v>48-53</c:v>
                  </c:pt>
                  <c:pt idx="16">
                    <c:v>54-60</c:v>
                  </c:pt>
                  <c:pt idx="17">
                    <c:v>18-23</c:v>
                  </c:pt>
                  <c:pt idx="18">
                    <c:v>24-29</c:v>
                  </c:pt>
                  <c:pt idx="19">
                    <c:v>30-35</c:v>
                  </c:pt>
                  <c:pt idx="20">
                    <c:v>42-47</c:v>
                  </c:pt>
                  <c:pt idx="21">
                    <c:v>48-53</c:v>
                  </c:pt>
                  <c:pt idx="22">
                    <c:v>54-60</c:v>
                  </c:pt>
                  <c:pt idx="23">
                    <c:v>24-29</c:v>
                  </c:pt>
                  <c:pt idx="24">
                    <c:v>36-41</c:v>
                  </c:pt>
                  <c:pt idx="25">
                    <c:v>48-53</c:v>
                  </c:pt>
                  <c:pt idx="26">
                    <c:v>54-60</c:v>
                  </c:pt>
                  <c:pt idx="27">
                    <c:v>18-23</c:v>
                  </c:pt>
                  <c:pt idx="28">
                    <c:v>24-29</c:v>
                  </c:pt>
                  <c:pt idx="29">
                    <c:v>36-41</c:v>
                  </c:pt>
                  <c:pt idx="30">
                    <c:v>42-47</c:v>
                  </c:pt>
                  <c:pt idx="31">
                    <c:v>48-53</c:v>
                  </c:pt>
                  <c:pt idx="32">
                    <c:v>54-60</c:v>
                  </c:pt>
                  <c:pt idx="33">
                    <c:v>18-23</c:v>
                  </c:pt>
                  <c:pt idx="34">
                    <c:v>30-35</c:v>
                  </c:pt>
                  <c:pt idx="35">
                    <c:v>42-47</c:v>
                  </c:pt>
                  <c:pt idx="36">
                    <c:v>24-29</c:v>
                  </c:pt>
                  <c:pt idx="37">
                    <c:v>30-35</c:v>
                  </c:pt>
                  <c:pt idx="38">
                    <c:v>36-41</c:v>
                  </c:pt>
                  <c:pt idx="39">
                    <c:v>42-47</c:v>
                  </c:pt>
                  <c:pt idx="40">
                    <c:v>48-53</c:v>
                  </c:pt>
                </c:lvl>
                <c:lvl>
                  <c:pt idx="0">
                    <c:v>Female</c:v>
                  </c:pt>
                  <c:pt idx="6">
                    <c:v>Male</c:v>
                  </c:pt>
                  <c:pt idx="12">
                    <c:v>Female</c:v>
                  </c:pt>
                  <c:pt idx="17">
                    <c:v>Male</c:v>
                  </c:pt>
                  <c:pt idx="23">
                    <c:v>Female</c:v>
                  </c:pt>
                  <c:pt idx="27">
                    <c:v>Male</c:v>
                  </c:pt>
                  <c:pt idx="33">
                    <c:v>Female</c:v>
                  </c:pt>
                  <c:pt idx="36">
                    <c:v>Male</c:v>
                  </c:pt>
                </c:lvl>
                <c:lvl>
                  <c:pt idx="0">
                    <c:v>Normal</c:v>
                  </c:pt>
                  <c:pt idx="12">
                    <c:v>Obese</c:v>
                  </c:pt>
                  <c:pt idx="23">
                    <c:v>Overweight</c:v>
                  </c:pt>
                  <c:pt idx="33">
                    <c:v>Underweight</c:v>
                  </c:pt>
                </c:lvl>
              </c:multiLvlStrCache>
            </c:multiLvlStrRef>
          </c:cat>
          <c:val>
            <c:numRef>
              <c:f>'pivot table'!$C$4:$C$57</c:f>
              <c:numCache>
                <c:formatCode>General</c:formatCode>
                <c:ptCount val="41"/>
                <c:pt idx="0">
                  <c:v>2331.1666666666665</c:v>
                </c:pt>
                <c:pt idx="1">
                  <c:v>2398.4</c:v>
                </c:pt>
                <c:pt idx="2">
                  <c:v>2214</c:v>
                </c:pt>
                <c:pt idx="3">
                  <c:v>2475</c:v>
                </c:pt>
                <c:pt idx="4">
                  <c:v>2364</c:v>
                </c:pt>
                <c:pt idx="5">
                  <c:v>2563</c:v>
                </c:pt>
                <c:pt idx="6">
                  <c:v>2499.3333333333335</c:v>
                </c:pt>
                <c:pt idx="7">
                  <c:v>2428</c:v>
                </c:pt>
                <c:pt idx="8">
                  <c:v>2249</c:v>
                </c:pt>
                <c:pt idx="9">
                  <c:v>1827</c:v>
                </c:pt>
                <c:pt idx="10">
                  <c:v>1973</c:v>
                </c:pt>
                <c:pt idx="11">
                  <c:v>2505</c:v>
                </c:pt>
                <c:pt idx="12">
                  <c:v>2336</c:v>
                </c:pt>
                <c:pt idx="13">
                  <c:v>2370.6666666666665</c:v>
                </c:pt>
                <c:pt idx="14">
                  <c:v>2413</c:v>
                </c:pt>
                <c:pt idx="15">
                  <c:v>2499</c:v>
                </c:pt>
                <c:pt idx="16">
                  <c:v>2691.5</c:v>
                </c:pt>
                <c:pt idx="17">
                  <c:v>2581</c:v>
                </c:pt>
                <c:pt idx="18">
                  <c:v>2581.5</c:v>
                </c:pt>
                <c:pt idx="19">
                  <c:v>2891</c:v>
                </c:pt>
                <c:pt idx="20">
                  <c:v>2883.3333333333335</c:v>
                </c:pt>
                <c:pt idx="21">
                  <c:v>2505</c:v>
                </c:pt>
                <c:pt idx="22">
                  <c:v>2448.5</c:v>
                </c:pt>
                <c:pt idx="23">
                  <c:v>2504</c:v>
                </c:pt>
                <c:pt idx="24">
                  <c:v>2633.5</c:v>
                </c:pt>
                <c:pt idx="25">
                  <c:v>2431</c:v>
                </c:pt>
                <c:pt idx="26">
                  <c:v>1983</c:v>
                </c:pt>
                <c:pt idx="27">
                  <c:v>2682.6666666666665</c:v>
                </c:pt>
                <c:pt idx="28">
                  <c:v>2351</c:v>
                </c:pt>
                <c:pt idx="29">
                  <c:v>2449.5</c:v>
                </c:pt>
                <c:pt idx="30">
                  <c:v>2473</c:v>
                </c:pt>
                <c:pt idx="31">
                  <c:v>2376.6666666666665</c:v>
                </c:pt>
                <c:pt idx="32">
                  <c:v>2857</c:v>
                </c:pt>
                <c:pt idx="33">
                  <c:v>2365</c:v>
                </c:pt>
                <c:pt idx="34">
                  <c:v>2780</c:v>
                </c:pt>
                <c:pt idx="35">
                  <c:v>2095</c:v>
                </c:pt>
                <c:pt idx="36">
                  <c:v>2376.3333333333335</c:v>
                </c:pt>
                <c:pt idx="37">
                  <c:v>2228</c:v>
                </c:pt>
                <c:pt idx="38">
                  <c:v>2165</c:v>
                </c:pt>
                <c:pt idx="39">
                  <c:v>2044</c:v>
                </c:pt>
                <c:pt idx="40">
                  <c:v>2329.5</c:v>
                </c:pt>
              </c:numCache>
            </c:numRef>
          </c:val>
          <c:extLst>
            <c:ext xmlns:c16="http://schemas.microsoft.com/office/drawing/2014/chart" uri="{C3380CC4-5D6E-409C-BE32-E72D297353CC}">
              <c16:uniqueId val="{00000001-C3F1-419B-96BB-2A4491279B69}"/>
            </c:ext>
          </c:extLst>
        </c:ser>
        <c:dLbls>
          <c:showLegendKey val="0"/>
          <c:showVal val="0"/>
          <c:showCatName val="0"/>
          <c:showSerName val="0"/>
          <c:showPercent val="0"/>
          <c:showBubbleSize val="0"/>
        </c:dLbls>
        <c:gapWidth val="150"/>
        <c:axId val="656304936"/>
        <c:axId val="656306736"/>
      </c:barChart>
      <c:catAx>
        <c:axId val="656304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306736"/>
        <c:crosses val="autoZero"/>
        <c:auto val="1"/>
        <c:lblAlgn val="ctr"/>
        <c:lblOffset val="100"/>
        <c:noMultiLvlLbl val="0"/>
      </c:catAx>
      <c:valAx>
        <c:axId val="656306736"/>
        <c:scaling>
          <c:orientation val="minMax"/>
          <c:max val="3000"/>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304936"/>
        <c:crosses val="autoZero"/>
        <c:crossBetween val="between"/>
      </c:valAx>
      <c:spPr>
        <a:solidFill>
          <a:schemeClr val="accent3">
            <a:lumMod val="20000"/>
            <a:lumOff val="80000"/>
          </a:schemeClr>
        </a:solidFill>
        <a:ln>
          <a:noFill/>
        </a:ln>
        <a:effectLst/>
      </c:spPr>
    </c:plotArea>
    <c:legend>
      <c:legendPos val="r"/>
      <c:legendEntry>
        <c:idx val="0"/>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89593880354465383"/>
          <c:y val="0.45971698060710608"/>
          <c:w val="9.8587992350443077E-2"/>
          <c:h val="0.272168943546367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[nutrition 123.xlsx]pivot table!PivotTable3</c:name>
    <c:fmtId val="4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table'!$G$14:$G$15</c:f>
              <c:strCache>
                <c:ptCount val="1"/>
                <c:pt idx="0">
                  <c:v>Average of BMI</c:v>
                </c:pt>
              </c:strCache>
            </c:strRef>
          </c:tx>
          <c:spPr>
            <a:solidFill>
              <a:schemeClr val="accent1"/>
            </a:solidFill>
            <a:ln>
              <a:noFill/>
            </a:ln>
            <a:effectLst/>
          </c:spPr>
          <c:invertIfNegative val="0"/>
          <c:cat>
            <c:strRef>
              <c:f>'pivot table'!$F$16:$F$18</c:f>
              <c:strCache>
                <c:ptCount val="2"/>
                <c:pt idx="0">
                  <c:v>Female</c:v>
                </c:pt>
                <c:pt idx="1">
                  <c:v>Male</c:v>
                </c:pt>
              </c:strCache>
            </c:strRef>
          </c:cat>
          <c:val>
            <c:numRef>
              <c:f>'pivot table'!$G$16:$G$18</c:f>
              <c:numCache>
                <c:formatCode>General</c:formatCode>
                <c:ptCount val="2"/>
                <c:pt idx="0">
                  <c:v>26.376315789473686</c:v>
                </c:pt>
                <c:pt idx="1">
                  <c:v>26.248936170212758</c:v>
                </c:pt>
              </c:numCache>
            </c:numRef>
          </c:val>
          <c:extLst>
            <c:ext xmlns:c16="http://schemas.microsoft.com/office/drawing/2014/chart" uri="{C3380CC4-5D6E-409C-BE32-E72D297353CC}">
              <c16:uniqueId val="{00000000-3983-42A4-AFD9-75E10D8D3DA2}"/>
            </c:ext>
          </c:extLst>
        </c:ser>
        <c:ser>
          <c:idx val="1"/>
          <c:order val="1"/>
          <c:tx>
            <c:strRef>
              <c:f>'pivot table'!$H$14:$H$15</c:f>
              <c:strCache>
                <c:ptCount val="1"/>
                <c:pt idx="0">
                  <c:v>Average of Sleep (hrs/day)</c:v>
                </c:pt>
              </c:strCache>
            </c:strRef>
          </c:tx>
          <c:spPr>
            <a:solidFill>
              <a:schemeClr val="accent2"/>
            </a:solidFill>
            <a:ln>
              <a:noFill/>
            </a:ln>
            <a:effectLst/>
          </c:spPr>
          <c:invertIfNegative val="0"/>
          <c:cat>
            <c:strRef>
              <c:f>'pivot table'!$F$16:$F$18</c:f>
              <c:strCache>
                <c:ptCount val="2"/>
                <c:pt idx="0">
                  <c:v>Female</c:v>
                </c:pt>
                <c:pt idx="1">
                  <c:v>Male</c:v>
                </c:pt>
              </c:strCache>
            </c:strRef>
          </c:cat>
          <c:val>
            <c:numRef>
              <c:f>'pivot table'!$H$16:$H$18</c:f>
              <c:numCache>
                <c:formatCode>General</c:formatCode>
                <c:ptCount val="2"/>
                <c:pt idx="0">
                  <c:v>6.7210526315789476</c:v>
                </c:pt>
                <c:pt idx="1">
                  <c:v>6.8489361702127658</c:v>
                </c:pt>
              </c:numCache>
            </c:numRef>
          </c:val>
          <c:extLst>
            <c:ext xmlns:c16="http://schemas.microsoft.com/office/drawing/2014/chart" uri="{C3380CC4-5D6E-409C-BE32-E72D297353CC}">
              <c16:uniqueId val="{00000001-3983-42A4-AFD9-75E10D8D3DA2}"/>
            </c:ext>
          </c:extLst>
        </c:ser>
        <c:ser>
          <c:idx val="2"/>
          <c:order val="2"/>
          <c:tx>
            <c:strRef>
              <c:f>'pivot table'!$I$14:$I$15</c:f>
              <c:strCache>
                <c:ptCount val="1"/>
                <c:pt idx="0">
                  <c:v>Average of Exercise (hrs/week)</c:v>
                </c:pt>
              </c:strCache>
            </c:strRef>
          </c:tx>
          <c:spPr>
            <a:solidFill>
              <a:schemeClr val="accent3"/>
            </a:solidFill>
            <a:ln>
              <a:noFill/>
            </a:ln>
            <a:effectLst/>
          </c:spPr>
          <c:invertIfNegative val="0"/>
          <c:cat>
            <c:strRef>
              <c:f>'pivot table'!$F$16:$F$18</c:f>
              <c:strCache>
                <c:ptCount val="2"/>
                <c:pt idx="0">
                  <c:v>Female</c:v>
                </c:pt>
                <c:pt idx="1">
                  <c:v>Male</c:v>
                </c:pt>
              </c:strCache>
            </c:strRef>
          </c:cat>
          <c:val>
            <c:numRef>
              <c:f>'pivot table'!$I$16:$I$18</c:f>
              <c:numCache>
                <c:formatCode>General</c:formatCode>
                <c:ptCount val="2"/>
                <c:pt idx="0">
                  <c:v>5.3789473684210529</c:v>
                </c:pt>
                <c:pt idx="1">
                  <c:v>5.285106382978725</c:v>
                </c:pt>
              </c:numCache>
            </c:numRef>
          </c:val>
          <c:extLst>
            <c:ext xmlns:c16="http://schemas.microsoft.com/office/drawing/2014/chart" uri="{C3380CC4-5D6E-409C-BE32-E72D297353CC}">
              <c16:uniqueId val="{00000002-3983-42A4-AFD9-75E10D8D3DA2}"/>
            </c:ext>
          </c:extLst>
        </c:ser>
        <c:dLbls>
          <c:showLegendKey val="0"/>
          <c:showVal val="0"/>
          <c:showCatName val="0"/>
          <c:showSerName val="0"/>
          <c:showPercent val="0"/>
          <c:showBubbleSize val="0"/>
        </c:dLbls>
        <c:gapWidth val="219"/>
        <c:overlap val="-27"/>
        <c:axId val="548407464"/>
        <c:axId val="548406024"/>
      </c:barChart>
      <c:catAx>
        <c:axId val="548407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548406024"/>
        <c:crosses val="autoZero"/>
        <c:auto val="1"/>
        <c:lblAlgn val="ctr"/>
        <c:lblOffset val="100"/>
        <c:noMultiLvlLbl val="0"/>
      </c:catAx>
      <c:valAx>
        <c:axId val="548406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407464"/>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[nutrition 123.xlsx]pivot table!PivotTable4</c:name>
    <c:fmtId val="6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table'!$G$35:$G$36</c:f>
              <c:strCache>
                <c:ptCount val="1"/>
                <c:pt idx="0">
                  <c:v>Average of Sleep (hrs/day)</c:v>
                </c:pt>
              </c:strCache>
            </c:strRef>
          </c:tx>
          <c:spPr>
            <a:solidFill>
              <a:schemeClr val="accent1"/>
            </a:solidFill>
            <a:ln>
              <a:noFill/>
            </a:ln>
            <a:effectLst/>
          </c:spPr>
          <c:invertIfNegative val="0"/>
          <c:cat>
            <c:strRef>
              <c:f>'pivot table'!$F$37:$F$44</c:f>
              <c:strCache>
                <c:ptCount val="7"/>
                <c:pt idx="0">
                  <c:v>18-23</c:v>
                </c:pt>
                <c:pt idx="1">
                  <c:v>24-29</c:v>
                </c:pt>
                <c:pt idx="2">
                  <c:v>30-35</c:v>
                </c:pt>
                <c:pt idx="3">
                  <c:v>36-41</c:v>
                </c:pt>
                <c:pt idx="4">
                  <c:v>42-47</c:v>
                </c:pt>
                <c:pt idx="5">
                  <c:v>48-53</c:v>
                </c:pt>
                <c:pt idx="6">
                  <c:v>54-60</c:v>
                </c:pt>
              </c:strCache>
            </c:strRef>
          </c:cat>
          <c:val>
            <c:numRef>
              <c:f>'pivot table'!$G$37:$G$44</c:f>
              <c:numCache>
                <c:formatCode>General</c:formatCode>
                <c:ptCount val="7"/>
                <c:pt idx="0">
                  <c:v>6.988235294117648</c:v>
                </c:pt>
                <c:pt idx="1">
                  <c:v>5.9928571428571429</c:v>
                </c:pt>
                <c:pt idx="2">
                  <c:v>6.4888888888888889</c:v>
                </c:pt>
                <c:pt idx="3">
                  <c:v>6.8666666666666663</c:v>
                </c:pt>
                <c:pt idx="4">
                  <c:v>7.4874999999999998</c:v>
                </c:pt>
                <c:pt idx="5">
                  <c:v>6.8684210526315788</c:v>
                </c:pt>
                <c:pt idx="6">
                  <c:v>7.1111111111111107</c:v>
                </c:pt>
              </c:numCache>
            </c:numRef>
          </c:val>
          <c:extLst>
            <c:ext xmlns:c16="http://schemas.microsoft.com/office/drawing/2014/chart" uri="{C3380CC4-5D6E-409C-BE32-E72D297353CC}">
              <c16:uniqueId val="{00000000-BB97-4070-AFD7-EE48C1BFC058}"/>
            </c:ext>
          </c:extLst>
        </c:ser>
        <c:ser>
          <c:idx val="1"/>
          <c:order val="1"/>
          <c:tx>
            <c:strRef>
              <c:f>'pivot table'!$H$35:$H$36</c:f>
              <c:strCache>
                <c:ptCount val="1"/>
                <c:pt idx="0">
                  <c:v>Average of Exercise (hrs/week)</c:v>
                </c:pt>
              </c:strCache>
            </c:strRef>
          </c:tx>
          <c:spPr>
            <a:solidFill>
              <a:schemeClr val="accent2"/>
            </a:solidFill>
            <a:ln>
              <a:noFill/>
            </a:ln>
            <a:effectLst/>
          </c:spPr>
          <c:invertIfNegative val="0"/>
          <c:cat>
            <c:strRef>
              <c:f>'pivot table'!$F$37:$F$44</c:f>
              <c:strCache>
                <c:ptCount val="7"/>
                <c:pt idx="0">
                  <c:v>18-23</c:v>
                </c:pt>
                <c:pt idx="1">
                  <c:v>24-29</c:v>
                </c:pt>
                <c:pt idx="2">
                  <c:v>30-35</c:v>
                </c:pt>
                <c:pt idx="3">
                  <c:v>36-41</c:v>
                </c:pt>
                <c:pt idx="4">
                  <c:v>42-47</c:v>
                </c:pt>
                <c:pt idx="5">
                  <c:v>48-53</c:v>
                </c:pt>
                <c:pt idx="6">
                  <c:v>54-60</c:v>
                </c:pt>
              </c:strCache>
            </c:strRef>
          </c:cat>
          <c:val>
            <c:numRef>
              <c:f>'pivot table'!$H$37:$H$44</c:f>
              <c:numCache>
                <c:formatCode>General</c:formatCode>
                <c:ptCount val="7"/>
                <c:pt idx="0">
                  <c:v>6.3941176470588248</c:v>
                </c:pt>
                <c:pt idx="1">
                  <c:v>4.8071428571428569</c:v>
                </c:pt>
                <c:pt idx="2">
                  <c:v>3.3777777777777778</c:v>
                </c:pt>
                <c:pt idx="3">
                  <c:v>4.5222222222222221</c:v>
                </c:pt>
                <c:pt idx="4">
                  <c:v>7.1875</c:v>
                </c:pt>
                <c:pt idx="5">
                  <c:v>5.3842105263157887</c:v>
                </c:pt>
                <c:pt idx="6">
                  <c:v>5.1000000000000005</c:v>
                </c:pt>
              </c:numCache>
            </c:numRef>
          </c:val>
          <c:extLst>
            <c:ext xmlns:c16="http://schemas.microsoft.com/office/drawing/2014/chart" uri="{C3380CC4-5D6E-409C-BE32-E72D297353CC}">
              <c16:uniqueId val="{00000001-BB97-4070-AFD7-EE48C1BFC058}"/>
            </c:ext>
          </c:extLst>
        </c:ser>
        <c:dLbls>
          <c:showLegendKey val="0"/>
          <c:showVal val="0"/>
          <c:showCatName val="0"/>
          <c:showSerName val="0"/>
          <c:showPercent val="0"/>
          <c:showBubbleSize val="0"/>
        </c:dLbls>
        <c:gapWidth val="182"/>
        <c:axId val="477692456"/>
        <c:axId val="656300976"/>
      </c:barChart>
      <c:catAx>
        <c:axId val="477692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300976"/>
        <c:crosses val="autoZero"/>
        <c:auto val="1"/>
        <c:lblAlgn val="ctr"/>
        <c:lblOffset val="100"/>
        <c:noMultiLvlLbl val="0"/>
      </c:catAx>
      <c:valAx>
        <c:axId val="656300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692456"/>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3.svg"/><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image" Target="../media/image1.emf"/><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0</xdr:colOff>
      <xdr:row>18</xdr:row>
      <xdr:rowOff>152400</xdr:rowOff>
    </xdr:from>
    <xdr:to>
      <xdr:col>7</xdr:col>
      <xdr:colOff>1206500</xdr:colOff>
      <xdr:row>27</xdr:row>
      <xdr:rowOff>179917</xdr:rowOff>
    </xdr:to>
    <xdr:graphicFrame macro="">
      <xdr:nvGraphicFramePr>
        <xdr:cNvPr id="12" name="Chart 11">
          <a:extLst>
            <a:ext uri="{FF2B5EF4-FFF2-40B4-BE49-F238E27FC236}">
              <a16:creationId xmlns:a16="http://schemas.microsoft.com/office/drawing/2014/main" id="{99E28642-2636-D863-710C-D7466B8120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1619250</xdr:colOff>
      <xdr:row>45</xdr:row>
      <xdr:rowOff>4233</xdr:rowOff>
    </xdr:from>
    <xdr:to>
      <xdr:col>8</xdr:col>
      <xdr:colOff>84667</xdr:colOff>
      <xdr:row>56</xdr:row>
      <xdr:rowOff>105833</xdr:rowOff>
    </xdr:to>
    <xdr:graphicFrame macro="">
      <xdr:nvGraphicFramePr>
        <xdr:cNvPr id="13" name="Chart 12">
          <a:extLst>
            <a:ext uri="{FF2B5EF4-FFF2-40B4-BE49-F238E27FC236}">
              <a16:creationId xmlns:a16="http://schemas.microsoft.com/office/drawing/2014/main" id="{3D6DA26E-1594-F70E-547A-3ADDF24CB5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71436</xdr:colOff>
      <xdr:row>1</xdr:row>
      <xdr:rowOff>136071</xdr:rowOff>
    </xdr:from>
    <xdr:to>
      <xdr:col>26</xdr:col>
      <xdr:colOff>412749</xdr:colOff>
      <xdr:row>87</xdr:row>
      <xdr:rowOff>166687</xdr:rowOff>
    </xdr:to>
    <xdr:sp macro="" textlink="">
      <xdr:nvSpPr>
        <xdr:cNvPr id="3" name="Rounded Rectangle 2">
          <a:extLst>
            <a:ext uri="{FF2B5EF4-FFF2-40B4-BE49-F238E27FC236}">
              <a16:creationId xmlns:a16="http://schemas.microsoft.com/office/drawing/2014/main" id="{00000000-0008-0000-0200-000003000000}"/>
            </a:ext>
          </a:extLst>
        </xdr:cNvPr>
        <xdr:cNvSpPr/>
      </xdr:nvSpPr>
      <xdr:spPr>
        <a:xfrm>
          <a:off x="71436" y="326571"/>
          <a:ext cx="16261670" cy="16413616"/>
        </a:xfrm>
        <a:prstGeom prst="roundRect">
          <a:avLst>
            <a:gd name="adj" fmla="val 4011"/>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3</xdr:col>
      <xdr:colOff>87747</xdr:colOff>
      <xdr:row>2</xdr:row>
      <xdr:rowOff>9526</xdr:rowOff>
    </xdr:from>
    <xdr:to>
      <xdr:col>26</xdr:col>
      <xdr:colOff>396874</xdr:colOff>
      <xdr:row>87</xdr:row>
      <xdr:rowOff>166687</xdr:rowOff>
    </xdr:to>
    <xdr:sp macro="" textlink="">
      <xdr:nvSpPr>
        <xdr:cNvPr id="4" name="Rounded Rectangle 3">
          <a:extLst>
            <a:ext uri="{FF2B5EF4-FFF2-40B4-BE49-F238E27FC236}">
              <a16:creationId xmlns:a16="http://schemas.microsoft.com/office/drawing/2014/main" id="{00000000-0008-0000-0200-000004000000}"/>
            </a:ext>
          </a:extLst>
        </xdr:cNvPr>
        <xdr:cNvSpPr/>
      </xdr:nvSpPr>
      <xdr:spPr>
        <a:xfrm>
          <a:off x="1945122" y="390526"/>
          <a:ext cx="14549002" cy="16349661"/>
        </a:xfrm>
        <a:prstGeom prst="roundRect">
          <a:avLst>
            <a:gd name="adj" fmla="val 4011"/>
          </a:avLst>
        </a:prstGeom>
        <a:solidFill>
          <a:schemeClr val="accent3">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oneCellAnchor>
    <xdr:from>
      <xdr:col>1</xdr:col>
      <xdr:colOff>421822</xdr:colOff>
      <xdr:row>4</xdr:row>
      <xdr:rowOff>136071</xdr:rowOff>
    </xdr:from>
    <xdr:ext cx="184731" cy="264560"/>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1034143" y="8980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twoCellAnchor editAs="oneCell">
    <xdr:from>
      <xdr:col>3</xdr:col>
      <xdr:colOff>190500</xdr:colOff>
      <xdr:row>2</xdr:row>
      <xdr:rowOff>13606</xdr:rowOff>
    </xdr:from>
    <xdr:to>
      <xdr:col>26</xdr:col>
      <xdr:colOff>432415</xdr:colOff>
      <xdr:row>6</xdr:row>
      <xdr:rowOff>129266</xdr:rowOff>
    </xdr:to>
    <xdr:pic>
      <xdr:nvPicPr>
        <xdr:cNvPr id="5" name="Picture 4">
          <a:extLst>
            <a:ext uri="{FF2B5EF4-FFF2-40B4-BE49-F238E27FC236}">
              <a16:creationId xmlns:a16="http://schemas.microsoft.com/office/drawing/2014/main" id="{558F126C-EF41-90EA-91FD-16D423E1CF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7464" y="394606"/>
          <a:ext cx="14325308" cy="877660"/>
        </a:xfrm>
        <a:prstGeom prst="rect">
          <a:avLst/>
        </a:prstGeom>
        <a:ln>
          <a:noFill/>
        </a:ln>
        <a:effectLst>
          <a:softEdge rad="112500"/>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441533</xdr:colOff>
      <xdr:row>9</xdr:row>
      <xdr:rowOff>179613</xdr:rowOff>
    </xdr:from>
    <xdr:to>
      <xdr:col>26</xdr:col>
      <xdr:colOff>81643</xdr:colOff>
      <xdr:row>14</xdr:row>
      <xdr:rowOff>13606</xdr:rowOff>
    </xdr:to>
    <mc:AlternateContent xmlns:mc="http://schemas.openxmlformats.org/markup-compatibility/2006" xmlns:a14="http://schemas.microsoft.com/office/drawing/2010/main">
      <mc:Choice Requires="a14">
        <xdr:graphicFrame macro="">
          <xdr:nvGraphicFramePr>
            <xdr:cNvPr id="7" name="BMI Category 1">
              <a:extLst>
                <a:ext uri="{FF2B5EF4-FFF2-40B4-BE49-F238E27FC236}">
                  <a16:creationId xmlns:a16="http://schemas.microsoft.com/office/drawing/2014/main" id="{906EB42B-8346-4C78-97F1-51E3842C893D}"/>
                </a:ext>
              </a:extLst>
            </xdr:cNvPr>
            <xdr:cNvGraphicFramePr/>
          </xdr:nvGraphicFramePr>
          <xdr:xfrm>
            <a:off x="0" y="0"/>
            <a:ext cx="0" cy="0"/>
          </xdr:xfrm>
          <a:graphic>
            <a:graphicData uri="http://schemas.microsoft.com/office/drawing/2010/slicer">
              <sle:slicer xmlns:sle="http://schemas.microsoft.com/office/drawing/2010/slicer" name="BMI Category 1"/>
            </a:graphicData>
          </a:graphic>
        </xdr:graphicFrame>
      </mc:Choice>
      <mc:Fallback xmlns="">
        <xdr:sp macro="" textlink="">
          <xdr:nvSpPr>
            <xdr:cNvPr id="0" name=""/>
            <xdr:cNvSpPr>
              <a:spLocks noTextEdit="1"/>
            </xdr:cNvSpPr>
          </xdr:nvSpPr>
          <xdr:spPr>
            <a:xfrm>
              <a:off x="2278497" y="1894113"/>
              <a:ext cx="13723503" cy="7864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421822</xdr:colOff>
      <xdr:row>6</xdr:row>
      <xdr:rowOff>163284</xdr:rowOff>
    </xdr:from>
    <xdr:to>
      <xdr:col>26</xdr:col>
      <xdr:colOff>27214</xdr:colOff>
      <xdr:row>9</xdr:row>
      <xdr:rowOff>81641</xdr:rowOff>
    </xdr:to>
    <xdr:sp macro="" textlink="">
      <xdr:nvSpPr>
        <xdr:cNvPr id="9" name="Rectangle: Rounded Corners 8">
          <a:extLst>
            <a:ext uri="{FF2B5EF4-FFF2-40B4-BE49-F238E27FC236}">
              <a16:creationId xmlns:a16="http://schemas.microsoft.com/office/drawing/2014/main" id="{10EE6953-E424-7F94-7EBC-D9C9978B3B76}"/>
            </a:ext>
          </a:extLst>
        </xdr:cNvPr>
        <xdr:cNvSpPr/>
      </xdr:nvSpPr>
      <xdr:spPr>
        <a:xfrm>
          <a:off x="2258786" y="1306284"/>
          <a:ext cx="13688785" cy="489857"/>
        </a:xfrm>
        <a:prstGeom prst="round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cap="none" spc="0">
              <a:ln w="0"/>
              <a:solidFill>
                <a:schemeClr val="tx1"/>
              </a:solidFill>
              <a:effectLst>
                <a:outerShdw blurRad="38100" dist="19050" dir="2700000" algn="tl" rotWithShape="0">
                  <a:schemeClr val="dk1">
                    <a:alpha val="40000"/>
                  </a:schemeClr>
                </a:outerShdw>
              </a:effectLst>
            </a:rPr>
            <a:t>Health</a:t>
          </a:r>
          <a:r>
            <a:rPr lang="en-IN" sz="2400" b="1" cap="none" spc="0" baseline="0">
              <a:ln w="0"/>
              <a:solidFill>
                <a:schemeClr val="tx1"/>
              </a:solidFill>
              <a:effectLst>
                <a:outerShdw blurRad="38100" dist="19050" dir="2700000" algn="tl" rotWithShape="0">
                  <a:schemeClr val="dk1">
                    <a:alpha val="40000"/>
                  </a:schemeClr>
                </a:outerShdw>
              </a:effectLst>
            </a:rPr>
            <a:t> metrics analysis across 85 participants / Age 18-60 / Male &amp; Female</a:t>
          </a:r>
          <a:endParaRPr lang="en-IN" sz="2400" b="1">
            <a:solidFill>
              <a:schemeClr val="tx1"/>
            </a:solidFill>
          </a:endParaRPr>
        </a:p>
      </xdr:txBody>
    </xdr:sp>
    <xdr:clientData/>
  </xdr:twoCellAnchor>
  <xdr:twoCellAnchor editAs="oneCell">
    <xdr:from>
      <xdr:col>3</xdr:col>
      <xdr:colOff>326572</xdr:colOff>
      <xdr:row>13</xdr:row>
      <xdr:rowOff>176892</xdr:rowOff>
    </xdr:from>
    <xdr:to>
      <xdr:col>4</xdr:col>
      <xdr:colOff>449035</xdr:colOff>
      <xdr:row>17</xdr:row>
      <xdr:rowOff>149677</xdr:rowOff>
    </xdr:to>
    <xdr:pic>
      <xdr:nvPicPr>
        <xdr:cNvPr id="11" name="Graphic 10" descr="Bar chart with solid fill">
          <a:extLst>
            <a:ext uri="{FF2B5EF4-FFF2-40B4-BE49-F238E27FC236}">
              <a16:creationId xmlns:a16="http://schemas.microsoft.com/office/drawing/2014/main" id="{F113272E-1E0F-A96C-A23F-1A3FAD764D6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163536" y="2653392"/>
          <a:ext cx="734785" cy="734785"/>
        </a:xfrm>
        <a:prstGeom prst="rect">
          <a:avLst/>
        </a:prstGeom>
      </xdr:spPr>
    </xdr:pic>
    <xdr:clientData/>
  </xdr:twoCellAnchor>
  <xdr:twoCellAnchor>
    <xdr:from>
      <xdr:col>4</xdr:col>
      <xdr:colOff>489857</xdr:colOff>
      <xdr:row>14</xdr:row>
      <xdr:rowOff>176893</xdr:rowOff>
    </xdr:from>
    <xdr:to>
      <xdr:col>8</xdr:col>
      <xdr:colOff>544286</xdr:colOff>
      <xdr:row>17</xdr:row>
      <xdr:rowOff>176893</xdr:rowOff>
    </xdr:to>
    <xdr:sp macro="" textlink="">
      <xdr:nvSpPr>
        <xdr:cNvPr id="12" name="Rectangle 11">
          <a:extLst>
            <a:ext uri="{FF2B5EF4-FFF2-40B4-BE49-F238E27FC236}">
              <a16:creationId xmlns:a16="http://schemas.microsoft.com/office/drawing/2014/main" id="{288224A1-99D1-792B-2F6B-B1FC88445A9E}"/>
            </a:ext>
          </a:extLst>
        </xdr:cNvPr>
        <xdr:cNvSpPr/>
      </xdr:nvSpPr>
      <xdr:spPr>
        <a:xfrm>
          <a:off x="2939143" y="2843893"/>
          <a:ext cx="2503714" cy="571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ln>
                <a:noFill/>
              </a:ln>
              <a:solidFill>
                <a:schemeClr val="tx2">
                  <a:lumMod val="50000"/>
                </a:schemeClr>
              </a:solidFill>
            </a:rPr>
            <a:t>Analytics</a:t>
          </a:r>
        </a:p>
      </xdr:txBody>
    </xdr:sp>
    <xdr:clientData/>
  </xdr:twoCellAnchor>
  <xdr:twoCellAnchor>
    <xdr:from>
      <xdr:col>3</xdr:col>
      <xdr:colOff>462643</xdr:colOff>
      <xdr:row>22</xdr:row>
      <xdr:rowOff>146266</xdr:rowOff>
    </xdr:from>
    <xdr:to>
      <xdr:col>7</xdr:col>
      <xdr:colOff>127000</xdr:colOff>
      <xdr:row>27</xdr:row>
      <xdr:rowOff>173482</xdr:rowOff>
    </xdr:to>
    <xdr:sp macro="" textlink="">
      <xdr:nvSpPr>
        <xdr:cNvPr id="13" name="Rectangle: Rounded Corners 12">
          <a:extLst>
            <a:ext uri="{FF2B5EF4-FFF2-40B4-BE49-F238E27FC236}">
              <a16:creationId xmlns:a16="http://schemas.microsoft.com/office/drawing/2014/main" id="{1F2AF9E7-95E7-B7DA-DD50-CE9AA75D134E}"/>
            </a:ext>
          </a:extLst>
        </xdr:cNvPr>
        <xdr:cNvSpPr/>
      </xdr:nvSpPr>
      <xdr:spPr>
        <a:xfrm>
          <a:off x="2320018" y="4337266"/>
          <a:ext cx="2140857" cy="979716"/>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accent4">
                  <a:lumMod val="50000"/>
                </a:schemeClr>
              </a:solidFill>
            </a:rPr>
            <a:t>Total Count</a:t>
          </a:r>
        </a:p>
        <a:p>
          <a:pPr algn="ctr"/>
          <a:r>
            <a:rPr lang="en-IN" sz="2400" b="1">
              <a:solidFill>
                <a:schemeClr val="accent4">
                  <a:lumMod val="50000"/>
                </a:schemeClr>
              </a:solidFill>
            </a:rPr>
            <a:t>85</a:t>
          </a:r>
        </a:p>
      </xdr:txBody>
    </xdr:sp>
    <xdr:clientData/>
  </xdr:twoCellAnchor>
  <xdr:twoCellAnchor>
    <xdr:from>
      <xdr:col>7</xdr:col>
      <xdr:colOff>315676</xdr:colOff>
      <xdr:row>22</xdr:row>
      <xdr:rowOff>172809</xdr:rowOff>
    </xdr:from>
    <xdr:to>
      <xdr:col>10</xdr:col>
      <xdr:colOff>571500</xdr:colOff>
      <xdr:row>28</xdr:row>
      <xdr:rowOff>9525</xdr:rowOff>
    </xdr:to>
    <xdr:sp macro="" textlink="">
      <xdr:nvSpPr>
        <xdr:cNvPr id="16" name="Rectangle: Rounded Corners 15">
          <a:extLst>
            <a:ext uri="{FF2B5EF4-FFF2-40B4-BE49-F238E27FC236}">
              <a16:creationId xmlns:a16="http://schemas.microsoft.com/office/drawing/2014/main" id="{7052A05D-7DB1-4875-8566-8A93C4AF03B0}"/>
            </a:ext>
          </a:extLst>
        </xdr:cNvPr>
        <xdr:cNvSpPr/>
      </xdr:nvSpPr>
      <xdr:spPr>
        <a:xfrm>
          <a:off x="4649551" y="4363809"/>
          <a:ext cx="2113199" cy="979716"/>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accent4">
                  <a:lumMod val="50000"/>
                </a:schemeClr>
              </a:solidFill>
            </a:rPr>
            <a:t>Male Count</a:t>
          </a:r>
        </a:p>
        <a:p>
          <a:pPr algn="ctr"/>
          <a:r>
            <a:rPr lang="en-IN" sz="2400" b="1">
              <a:solidFill>
                <a:schemeClr val="accent4">
                  <a:lumMod val="50000"/>
                </a:schemeClr>
              </a:solidFill>
            </a:rPr>
            <a:t>47</a:t>
          </a:r>
        </a:p>
      </xdr:txBody>
    </xdr:sp>
    <xdr:clientData/>
  </xdr:twoCellAnchor>
  <xdr:twoCellAnchor>
    <xdr:from>
      <xdr:col>11</xdr:col>
      <xdr:colOff>155763</xdr:colOff>
      <xdr:row>23</xdr:row>
      <xdr:rowOff>6113</xdr:rowOff>
    </xdr:from>
    <xdr:to>
      <xdr:col>14</xdr:col>
      <xdr:colOff>444500</xdr:colOff>
      <xdr:row>28</xdr:row>
      <xdr:rowOff>33329</xdr:rowOff>
    </xdr:to>
    <xdr:sp macro="" textlink="">
      <xdr:nvSpPr>
        <xdr:cNvPr id="17" name="Rectangle: Rounded Corners 16">
          <a:extLst>
            <a:ext uri="{FF2B5EF4-FFF2-40B4-BE49-F238E27FC236}">
              <a16:creationId xmlns:a16="http://schemas.microsoft.com/office/drawing/2014/main" id="{FC24C700-A6A0-4573-823F-4629C92A7F8F}"/>
            </a:ext>
          </a:extLst>
        </xdr:cNvPr>
        <xdr:cNvSpPr/>
      </xdr:nvSpPr>
      <xdr:spPr>
        <a:xfrm>
          <a:off x="6966138" y="4387613"/>
          <a:ext cx="2146112" cy="979716"/>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accent4">
                  <a:lumMod val="50000"/>
                </a:schemeClr>
              </a:solidFill>
            </a:rPr>
            <a:t>Female Count</a:t>
          </a:r>
        </a:p>
        <a:p>
          <a:pPr algn="ctr"/>
          <a:r>
            <a:rPr lang="en-IN" sz="2400" b="1">
              <a:solidFill>
                <a:schemeClr val="accent4">
                  <a:lumMod val="50000"/>
                </a:schemeClr>
              </a:solidFill>
            </a:rPr>
            <a:t>38</a:t>
          </a:r>
        </a:p>
      </xdr:txBody>
    </xdr:sp>
    <xdr:clientData/>
  </xdr:twoCellAnchor>
  <xdr:twoCellAnchor>
    <xdr:from>
      <xdr:col>3</xdr:col>
      <xdr:colOff>142875</xdr:colOff>
      <xdr:row>61</xdr:row>
      <xdr:rowOff>182552</xdr:rowOff>
    </xdr:from>
    <xdr:to>
      <xdr:col>13</xdr:col>
      <xdr:colOff>381000</xdr:colOff>
      <xdr:row>85</xdr:row>
      <xdr:rowOff>23803</xdr:rowOff>
    </xdr:to>
    <xdr:sp macro="" textlink="">
      <xdr:nvSpPr>
        <xdr:cNvPr id="18" name="Rectangle 17">
          <a:extLst>
            <a:ext uri="{FF2B5EF4-FFF2-40B4-BE49-F238E27FC236}">
              <a16:creationId xmlns:a16="http://schemas.microsoft.com/office/drawing/2014/main" id="{F929D498-DD1F-4A10-4E4F-9816E57F8670}"/>
            </a:ext>
          </a:extLst>
        </xdr:cNvPr>
        <xdr:cNvSpPr/>
      </xdr:nvSpPr>
      <xdr:spPr>
        <a:xfrm>
          <a:off x="2000250" y="11803052"/>
          <a:ext cx="6429375" cy="4413251"/>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BMI Category Split</a:t>
          </a:r>
        </a:p>
      </xdr:txBody>
    </xdr:sp>
    <xdr:clientData/>
  </xdr:twoCellAnchor>
  <xdr:twoCellAnchor>
    <xdr:from>
      <xdr:col>15</xdr:col>
      <xdr:colOff>380999</xdr:colOff>
      <xdr:row>17</xdr:row>
      <xdr:rowOff>47625</xdr:rowOff>
    </xdr:from>
    <xdr:to>
      <xdr:col>26</xdr:col>
      <xdr:colOff>301625</xdr:colOff>
      <xdr:row>33</xdr:row>
      <xdr:rowOff>23812</xdr:rowOff>
    </xdr:to>
    <xdr:sp macro="" textlink="">
      <xdr:nvSpPr>
        <xdr:cNvPr id="19" name="Rectangle 18">
          <a:extLst>
            <a:ext uri="{FF2B5EF4-FFF2-40B4-BE49-F238E27FC236}">
              <a16:creationId xmlns:a16="http://schemas.microsoft.com/office/drawing/2014/main" id="{AE574F98-F61A-4C01-9B53-FF7CE110F0F9}"/>
            </a:ext>
          </a:extLst>
        </xdr:cNvPr>
        <xdr:cNvSpPr/>
      </xdr:nvSpPr>
      <xdr:spPr>
        <a:xfrm>
          <a:off x="9667874" y="3286125"/>
          <a:ext cx="6731001" cy="3024187"/>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2">
                  <a:lumMod val="50000"/>
                </a:schemeClr>
              </a:solidFill>
            </a:rPr>
            <a:t>Avg</a:t>
          </a:r>
          <a:r>
            <a:rPr lang="en-IN" sz="2400" b="1" baseline="0">
              <a:solidFill>
                <a:schemeClr val="tx2">
                  <a:lumMod val="50000"/>
                </a:schemeClr>
              </a:solidFill>
            </a:rPr>
            <a:t> Exercise &amp; Sleep by Age Group</a:t>
          </a:r>
          <a:endParaRPr lang="en-IN" sz="2400" b="1">
            <a:solidFill>
              <a:schemeClr val="tx2">
                <a:lumMod val="50000"/>
              </a:schemeClr>
            </a:solidFill>
          </a:endParaRPr>
        </a:p>
      </xdr:txBody>
    </xdr:sp>
    <xdr:clientData/>
  </xdr:twoCellAnchor>
  <xdr:twoCellAnchor>
    <xdr:from>
      <xdr:col>13</xdr:col>
      <xdr:colOff>571500</xdr:colOff>
      <xdr:row>61</xdr:row>
      <xdr:rowOff>174623</xdr:rowOff>
    </xdr:from>
    <xdr:to>
      <xdr:col>26</xdr:col>
      <xdr:colOff>317500</xdr:colOff>
      <xdr:row>85</xdr:row>
      <xdr:rowOff>31749</xdr:rowOff>
    </xdr:to>
    <xdr:sp macro="" textlink="">
      <xdr:nvSpPr>
        <xdr:cNvPr id="20" name="Rectangle 19">
          <a:extLst>
            <a:ext uri="{FF2B5EF4-FFF2-40B4-BE49-F238E27FC236}">
              <a16:creationId xmlns:a16="http://schemas.microsoft.com/office/drawing/2014/main" id="{FBE4CA10-465F-4727-9843-14393F16CB7C}"/>
            </a:ext>
          </a:extLst>
        </xdr:cNvPr>
        <xdr:cNvSpPr/>
      </xdr:nvSpPr>
      <xdr:spPr>
        <a:xfrm>
          <a:off x="8620125" y="11795123"/>
          <a:ext cx="7794625" cy="442912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tx1"/>
              </a:solidFill>
            </a:rPr>
            <a:t>Avg Matrics</a:t>
          </a:r>
          <a:r>
            <a:rPr lang="en-IN" sz="2800" b="1" baseline="0">
              <a:solidFill>
                <a:schemeClr val="tx1"/>
              </a:solidFill>
            </a:rPr>
            <a:t> By Gender</a:t>
          </a:r>
          <a:endParaRPr lang="en-IN" sz="2800" b="1">
            <a:solidFill>
              <a:schemeClr val="tx1"/>
            </a:solidFill>
          </a:endParaRPr>
        </a:p>
      </xdr:txBody>
    </xdr:sp>
    <xdr:clientData/>
  </xdr:twoCellAnchor>
  <xdr:twoCellAnchor>
    <xdr:from>
      <xdr:col>3</xdr:col>
      <xdr:colOff>222251</xdr:colOff>
      <xdr:row>34</xdr:row>
      <xdr:rowOff>31733</xdr:rowOff>
    </xdr:from>
    <xdr:to>
      <xdr:col>26</xdr:col>
      <xdr:colOff>333375</xdr:colOff>
      <xdr:row>61</xdr:row>
      <xdr:rowOff>47608</xdr:rowOff>
    </xdr:to>
    <xdr:sp macro="" textlink="">
      <xdr:nvSpPr>
        <xdr:cNvPr id="22" name="Rectangle: Rounded Corners 21">
          <a:extLst>
            <a:ext uri="{FF2B5EF4-FFF2-40B4-BE49-F238E27FC236}">
              <a16:creationId xmlns:a16="http://schemas.microsoft.com/office/drawing/2014/main" id="{3E355635-FBFF-E656-854E-89C84766470B}"/>
            </a:ext>
          </a:extLst>
        </xdr:cNvPr>
        <xdr:cNvSpPr/>
      </xdr:nvSpPr>
      <xdr:spPr>
        <a:xfrm>
          <a:off x="2079626" y="6508733"/>
          <a:ext cx="14350999" cy="5159375"/>
        </a:xfrm>
        <a:prstGeom prst="roundRect">
          <a:avLst>
            <a:gd name="adj" fmla="val 2513"/>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rgbClr val="C00000"/>
              </a:solidFill>
            </a:rPr>
            <a:t>Age and Gender Wise Avg</a:t>
          </a:r>
          <a:r>
            <a:rPr lang="en-IN" sz="2800" b="1" baseline="0">
              <a:solidFill>
                <a:srgbClr val="C00000"/>
              </a:solidFill>
            </a:rPr>
            <a:t> of BMI  &amp; Avg of Calories </a:t>
          </a:r>
          <a:endParaRPr lang="en-IN" sz="2800" b="1">
            <a:solidFill>
              <a:srgbClr val="C00000"/>
            </a:solidFill>
          </a:endParaRPr>
        </a:p>
      </xdr:txBody>
    </xdr:sp>
    <xdr:clientData/>
  </xdr:twoCellAnchor>
  <xdr:twoCellAnchor>
    <xdr:from>
      <xdr:col>3</xdr:col>
      <xdr:colOff>198438</xdr:colOff>
      <xdr:row>64</xdr:row>
      <xdr:rowOff>150791</xdr:rowOff>
    </xdr:from>
    <xdr:to>
      <xdr:col>13</xdr:col>
      <xdr:colOff>347663</xdr:colOff>
      <xdr:row>84</xdr:row>
      <xdr:rowOff>166666</xdr:rowOff>
    </xdr:to>
    <xdr:graphicFrame macro="">
      <xdr:nvGraphicFramePr>
        <xdr:cNvPr id="21" name="Chart 20">
          <a:extLst>
            <a:ext uri="{FF2B5EF4-FFF2-40B4-BE49-F238E27FC236}">
              <a16:creationId xmlns:a16="http://schemas.microsoft.com/office/drawing/2014/main" id="{22396E16-5EE7-41B1-A37B-9812B85DD8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254000</xdr:colOff>
      <xdr:row>37</xdr:row>
      <xdr:rowOff>103172</xdr:rowOff>
    </xdr:from>
    <xdr:to>
      <xdr:col>26</xdr:col>
      <xdr:colOff>301625</xdr:colOff>
      <xdr:row>61</xdr:row>
      <xdr:rowOff>23797</xdr:rowOff>
    </xdr:to>
    <xdr:graphicFrame macro="">
      <xdr:nvGraphicFramePr>
        <xdr:cNvPr id="23" name="Chart 22">
          <a:extLst>
            <a:ext uri="{FF2B5EF4-FFF2-40B4-BE49-F238E27FC236}">
              <a16:creationId xmlns:a16="http://schemas.microsoft.com/office/drawing/2014/main" id="{1546144E-5A92-4541-B238-A4DB3C9CB8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15874</xdr:colOff>
      <xdr:row>64</xdr:row>
      <xdr:rowOff>190490</xdr:rowOff>
    </xdr:from>
    <xdr:to>
      <xdr:col>26</xdr:col>
      <xdr:colOff>285749</xdr:colOff>
      <xdr:row>84</xdr:row>
      <xdr:rowOff>190490</xdr:rowOff>
    </xdr:to>
    <xdr:graphicFrame macro="">
      <xdr:nvGraphicFramePr>
        <xdr:cNvPr id="25" name="Chart 24">
          <a:extLst>
            <a:ext uri="{FF2B5EF4-FFF2-40B4-BE49-F238E27FC236}">
              <a16:creationId xmlns:a16="http://schemas.microsoft.com/office/drawing/2014/main" id="{5B54DCF7-9ECC-4A90-BB59-554B4E0F4A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404813</xdr:colOff>
      <xdr:row>20</xdr:row>
      <xdr:rowOff>54430</xdr:rowOff>
    </xdr:from>
    <xdr:to>
      <xdr:col>26</xdr:col>
      <xdr:colOff>261938</xdr:colOff>
      <xdr:row>33</xdr:row>
      <xdr:rowOff>0</xdr:rowOff>
    </xdr:to>
    <xdr:graphicFrame macro="">
      <xdr:nvGraphicFramePr>
        <xdr:cNvPr id="27" name="Chart 26">
          <a:extLst>
            <a:ext uri="{FF2B5EF4-FFF2-40B4-BE49-F238E27FC236}">
              <a16:creationId xmlns:a16="http://schemas.microsoft.com/office/drawing/2014/main" id="{03A84344-B7F7-4873-B634-EBF12295FA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60453</xdr:colOff>
      <xdr:row>4</xdr:row>
      <xdr:rowOff>159697</xdr:rowOff>
    </xdr:from>
    <xdr:to>
      <xdr:col>3</xdr:col>
      <xdr:colOff>50925</xdr:colOff>
      <xdr:row>10</xdr:row>
      <xdr:rowOff>80934</xdr:rowOff>
    </xdr:to>
    <xdr:pic>
      <xdr:nvPicPr>
        <xdr:cNvPr id="32" name="Picture 31">
          <a:extLst>
            <a:ext uri="{FF2B5EF4-FFF2-40B4-BE49-F238E27FC236}">
              <a16:creationId xmlns:a16="http://schemas.microsoft.com/office/drawing/2014/main" id="{AC39248F-90DF-883A-821B-E86C8880590B}"/>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rot="21159938">
          <a:off x="60453" y="921697"/>
          <a:ext cx="1827436" cy="1064237"/>
        </a:xfrm>
        <a:prstGeom prst="rect">
          <a:avLst/>
        </a:prstGeom>
        <a:noFill/>
        <a:effectLst>
          <a:outerShdw blurRad="12700" dir="5400000" sx="1000" sy="1000" algn="ctr" rotWithShape="0">
            <a:srgbClr val="002060"/>
          </a:outerShdw>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18.888675810187" createdVersion="3" refreshedVersion="3" minRefreshableVersion="3" recordCount="85" xr:uid="{00000000-000A-0000-FFFF-FFFF04000000}">
  <cacheSource type="worksheet">
    <worksheetSource name="Table1"/>
  </cacheSource>
  <cacheFields count="11">
    <cacheField name="Person ID" numFmtId="0">
      <sharedItems containsSemiMixedTypes="0" containsString="0" containsNumber="1" containsInteger="1" minValue="1" maxValue="85" count="85">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sharedItems>
    </cacheField>
    <cacheField name="Age" numFmtId="0">
      <sharedItems containsSemiMixedTypes="0" containsString="0" containsNumber="1" containsInteger="1" minValue="18" maxValue="60" count="38">
        <n v="51"/>
        <n v="18"/>
        <n v="32"/>
        <n v="45"/>
        <n v="56"/>
        <n v="33"/>
        <n v="29"/>
        <n v="20"/>
        <n v="22"/>
        <n v="43"/>
        <n v="50"/>
        <n v="41"/>
        <n v="27"/>
        <n v="38"/>
        <n v="31"/>
        <n v="26"/>
        <n v="19"/>
        <n v="60"/>
        <n v="21"/>
        <n v="42"/>
        <n v="39"/>
        <n v="48"/>
        <n v="53"/>
        <n v="44"/>
        <n v="47"/>
        <n v="57"/>
        <n v="49"/>
        <n v="55"/>
        <n v="28"/>
        <n v="37"/>
        <n v="52"/>
        <n v="59"/>
        <n v="54"/>
        <n v="24"/>
        <n v="34"/>
        <n v="35"/>
        <n v="40"/>
        <n v="36"/>
      </sharedItems>
      <fieldGroup base="1">
        <rangePr startNum="18" endNum="60" groupInterval="6"/>
        <groupItems count="9">
          <s v="&lt;18"/>
          <s v="18-23"/>
          <s v="24-29"/>
          <s v="30-35"/>
          <s v="36-41"/>
          <s v="42-47"/>
          <s v="48-53"/>
          <s v="54-60"/>
          <s v="&gt;60"/>
        </groupItems>
      </fieldGroup>
    </cacheField>
    <cacheField name="Gender" numFmtId="0">
      <sharedItems count="2">
        <s v="Female"/>
        <s v="Male"/>
      </sharedItems>
    </cacheField>
    <cacheField name="Weight (kg)" numFmtId="0">
      <sharedItems containsSemiMixedTypes="0" containsString="0" containsNumber="1" containsInteger="1" minValue="50" maxValue="100" count="43">
        <n v="77"/>
        <n v="67"/>
        <n v="75"/>
        <n v="93"/>
        <n v="70"/>
        <n v="97"/>
        <n v="76"/>
        <n v="57"/>
        <n v="72"/>
        <n v="73"/>
        <n v="98"/>
        <n v="78"/>
        <n v="88"/>
        <n v="82"/>
        <n v="56"/>
        <n v="84"/>
        <n v="66"/>
        <n v="90"/>
        <n v="85"/>
        <n v="62"/>
        <n v="92"/>
        <n v="71"/>
        <n v="74"/>
        <n v="86"/>
        <n v="79"/>
        <n v="100"/>
        <n v="54"/>
        <n v="58"/>
        <n v="59"/>
        <n v="60"/>
        <n v="61"/>
        <n v="80"/>
        <n v="53"/>
        <n v="51"/>
        <n v="50"/>
        <n v="83"/>
        <n v="63"/>
        <n v="55"/>
        <n v="94"/>
        <n v="89"/>
        <n v="99"/>
        <n v="95"/>
        <n v="64"/>
      </sharedItems>
    </cacheField>
    <cacheField name="Height (cm)" numFmtId="0">
      <sharedItems containsSemiMixedTypes="0" containsString="0" containsNumber="1" containsInteger="1" minValue="150" maxValue="190"/>
    </cacheField>
    <cacheField name="BMI" numFmtId="0">
      <sharedItems containsSemiMixedTypes="0" containsString="0" containsNumber="1" minValue="15.3" maxValue="43.9"/>
    </cacheField>
    <cacheField name="Daily Calories" numFmtId="0">
      <sharedItems containsSemiMixedTypes="0" containsString="0" containsNumber="1" containsInteger="1" minValue="1811" maxValue="2994"/>
    </cacheField>
    <cacheField name="Water Intake (L)" numFmtId="0">
      <sharedItems containsSemiMixedTypes="0" containsString="0" containsNumber="1" minValue="1.5" maxValue="4"/>
    </cacheField>
    <cacheField name="Exercise (hrs/week)" numFmtId="0">
      <sharedItems containsSemiMixedTypes="0" containsString="0" containsNumber="1" minValue="0.4" maxValue="10"/>
    </cacheField>
    <cacheField name="Sleep (hrs/day)" numFmtId="0">
      <sharedItems containsSemiMixedTypes="0" containsString="0" containsNumber="1" minValue="5" maxValue="8.9"/>
    </cacheField>
    <cacheField name="BMI Category" numFmtId="0">
      <sharedItems count="4">
        <s v="Overweight"/>
        <s v="Normal"/>
        <s v="Obese"/>
        <s v="Underweight"/>
      </sharedItems>
    </cacheField>
  </cacheFields>
  <extLst>
    <ext xmlns:x14="http://schemas.microsoft.com/office/spreadsheetml/2009/9/main" uri="{725AE2AE-9491-48be-B2B4-4EB974FC3084}">
      <x14:pivotCacheDefinition pivotCacheId="10003130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
  <r>
    <x v="0"/>
    <x v="0"/>
    <x v="0"/>
    <x v="0"/>
    <n v="164"/>
    <n v="28.6"/>
    <n v="2342"/>
    <n v="3.4"/>
    <n v="3.6"/>
    <n v="5.0999999999999996"/>
    <x v="0"/>
  </r>
  <r>
    <x v="1"/>
    <x v="1"/>
    <x v="0"/>
    <x v="1"/>
    <n v="189"/>
    <n v="18.8"/>
    <n v="2579"/>
    <n v="2.9"/>
    <n v="9.1"/>
    <n v="8.1"/>
    <x v="1"/>
  </r>
  <r>
    <x v="2"/>
    <x v="2"/>
    <x v="0"/>
    <x v="2"/>
    <n v="155"/>
    <n v="31.2"/>
    <n v="2177"/>
    <n v="2.2999999999999998"/>
    <n v="5.4"/>
    <n v="7"/>
    <x v="2"/>
  </r>
  <r>
    <x v="3"/>
    <x v="0"/>
    <x v="1"/>
    <x v="3"/>
    <n v="183"/>
    <n v="27.8"/>
    <n v="1978"/>
    <n v="1.5"/>
    <n v="9.6"/>
    <n v="8.3000000000000007"/>
    <x v="0"/>
  </r>
  <r>
    <x v="4"/>
    <x v="3"/>
    <x v="1"/>
    <x v="3"/>
    <n v="190"/>
    <n v="25.8"/>
    <n v="2696"/>
    <n v="3"/>
    <n v="5.2"/>
    <n v="8.3000000000000007"/>
    <x v="0"/>
  </r>
  <r>
    <x v="5"/>
    <x v="4"/>
    <x v="1"/>
    <x v="4"/>
    <n v="161"/>
    <n v="27"/>
    <n v="2857"/>
    <n v="1.5"/>
    <n v="1.5"/>
    <n v="5.9"/>
    <x v="0"/>
  </r>
  <r>
    <x v="6"/>
    <x v="5"/>
    <x v="0"/>
    <x v="5"/>
    <n v="165"/>
    <n v="35.6"/>
    <n v="2783"/>
    <n v="4"/>
    <n v="3.6"/>
    <n v="8.4"/>
    <x v="2"/>
  </r>
  <r>
    <x v="7"/>
    <x v="6"/>
    <x v="1"/>
    <x v="6"/>
    <n v="181"/>
    <n v="23.2"/>
    <n v="2001"/>
    <n v="1.8"/>
    <n v="3.4"/>
    <n v="6.9"/>
    <x v="1"/>
  </r>
  <r>
    <x v="8"/>
    <x v="2"/>
    <x v="1"/>
    <x v="7"/>
    <n v="178"/>
    <n v="18"/>
    <n v="2228"/>
    <n v="3.8"/>
    <n v="9"/>
    <n v="5.7"/>
    <x v="3"/>
  </r>
  <r>
    <x v="9"/>
    <x v="7"/>
    <x v="1"/>
    <x v="8"/>
    <n v="172"/>
    <n v="24.3"/>
    <n v="2535"/>
    <n v="1.9"/>
    <n v="9.9"/>
    <n v="6.7"/>
    <x v="1"/>
  </r>
  <r>
    <x v="10"/>
    <x v="7"/>
    <x v="1"/>
    <x v="9"/>
    <n v="165"/>
    <n v="26.8"/>
    <n v="2973"/>
    <n v="2.5"/>
    <n v="2.5"/>
    <n v="8"/>
    <x v="0"/>
  </r>
  <r>
    <x v="11"/>
    <x v="8"/>
    <x v="0"/>
    <x v="10"/>
    <n v="150"/>
    <n v="43.6"/>
    <n v="2596"/>
    <n v="3.8"/>
    <n v="8.4"/>
    <n v="6.1"/>
    <x v="2"/>
  </r>
  <r>
    <x v="12"/>
    <x v="9"/>
    <x v="1"/>
    <x v="11"/>
    <n v="152"/>
    <n v="33.799999999999997"/>
    <n v="2811"/>
    <n v="2.7"/>
    <n v="4.9000000000000004"/>
    <n v="5.3"/>
    <x v="2"/>
  </r>
  <r>
    <x v="13"/>
    <x v="10"/>
    <x v="0"/>
    <x v="12"/>
    <n v="174"/>
    <n v="29.1"/>
    <n v="1984"/>
    <n v="1.8"/>
    <n v="4.0999999999999996"/>
    <n v="6.4"/>
    <x v="0"/>
  </r>
  <r>
    <x v="14"/>
    <x v="7"/>
    <x v="0"/>
    <x v="13"/>
    <n v="152"/>
    <n v="35.5"/>
    <n v="2076"/>
    <n v="2.2000000000000002"/>
    <n v="2.4"/>
    <n v="6.8"/>
    <x v="2"/>
  </r>
  <r>
    <x v="15"/>
    <x v="7"/>
    <x v="1"/>
    <x v="14"/>
    <n v="155"/>
    <n v="23.3"/>
    <n v="2740"/>
    <n v="2.2999999999999998"/>
    <n v="9"/>
    <n v="5.4"/>
    <x v="1"/>
  </r>
  <r>
    <x v="16"/>
    <x v="11"/>
    <x v="0"/>
    <x v="15"/>
    <n v="182"/>
    <n v="25.4"/>
    <n v="2381"/>
    <n v="2.6"/>
    <n v="4.4000000000000004"/>
    <n v="5.9"/>
    <x v="0"/>
  </r>
  <r>
    <x v="17"/>
    <x v="12"/>
    <x v="0"/>
    <x v="16"/>
    <n v="172"/>
    <n v="22.3"/>
    <n v="2717"/>
    <n v="2.2000000000000002"/>
    <n v="9.5"/>
    <n v="5.0999999999999996"/>
    <x v="1"/>
  </r>
  <r>
    <x v="18"/>
    <x v="10"/>
    <x v="0"/>
    <x v="17"/>
    <n v="177"/>
    <n v="28.7"/>
    <n v="2967"/>
    <n v="3.7"/>
    <n v="9.1"/>
    <n v="6.8"/>
    <x v="0"/>
  </r>
  <r>
    <x v="19"/>
    <x v="13"/>
    <x v="0"/>
    <x v="18"/>
    <n v="163"/>
    <n v="32"/>
    <n v="2413"/>
    <n v="1.8"/>
    <n v="0.9"/>
    <n v="5.9"/>
    <x v="2"/>
  </r>
  <r>
    <x v="20"/>
    <x v="14"/>
    <x v="0"/>
    <x v="16"/>
    <n v="164"/>
    <n v="24.5"/>
    <n v="2214"/>
    <n v="3.9"/>
    <n v="1"/>
    <n v="6.1"/>
    <x v="1"/>
  </r>
  <r>
    <x v="21"/>
    <x v="15"/>
    <x v="0"/>
    <x v="16"/>
    <n v="188"/>
    <n v="18.7"/>
    <n v="2761"/>
    <n v="2.5"/>
    <n v="5.9"/>
    <n v="6.7"/>
    <x v="1"/>
  </r>
  <r>
    <x v="22"/>
    <x v="16"/>
    <x v="0"/>
    <x v="19"/>
    <n v="185"/>
    <n v="18.100000000000001"/>
    <n v="2365"/>
    <n v="3.4"/>
    <n v="1.7"/>
    <n v="6.9"/>
    <x v="3"/>
  </r>
  <r>
    <x v="23"/>
    <x v="17"/>
    <x v="1"/>
    <x v="15"/>
    <n v="190"/>
    <n v="23.3"/>
    <n v="2720"/>
    <n v="1.8"/>
    <n v="4.2"/>
    <n v="8.6"/>
    <x v="1"/>
  </r>
  <r>
    <x v="24"/>
    <x v="10"/>
    <x v="1"/>
    <x v="4"/>
    <n v="155"/>
    <n v="29.1"/>
    <n v="2610"/>
    <n v="2.9"/>
    <n v="9.5"/>
    <n v="8.1"/>
    <x v="0"/>
  </r>
  <r>
    <x v="25"/>
    <x v="15"/>
    <x v="0"/>
    <x v="13"/>
    <n v="186"/>
    <n v="23.7"/>
    <n v="2123"/>
    <n v="2.9"/>
    <n v="4.7"/>
    <n v="5.3"/>
    <x v="1"/>
  </r>
  <r>
    <x v="26"/>
    <x v="2"/>
    <x v="1"/>
    <x v="3"/>
    <n v="155"/>
    <n v="38.700000000000003"/>
    <n v="2891"/>
    <n v="4"/>
    <n v="5.0999999999999996"/>
    <n v="6.9"/>
    <x v="2"/>
  </r>
  <r>
    <x v="27"/>
    <x v="18"/>
    <x v="1"/>
    <x v="20"/>
    <n v="186"/>
    <n v="26.6"/>
    <n v="2984"/>
    <n v="3.7"/>
    <n v="9.6999999999999993"/>
    <n v="8"/>
    <x v="0"/>
  </r>
  <r>
    <x v="28"/>
    <x v="19"/>
    <x v="1"/>
    <x v="21"/>
    <n v="172"/>
    <n v="24"/>
    <n v="1827"/>
    <n v="2.2000000000000002"/>
    <n v="7.8"/>
    <n v="8.9"/>
    <x v="1"/>
  </r>
  <r>
    <x v="29"/>
    <x v="15"/>
    <x v="0"/>
    <x v="22"/>
    <n v="171"/>
    <n v="25.3"/>
    <n v="2504"/>
    <n v="3.6"/>
    <n v="1.7"/>
    <n v="8.9"/>
    <x v="0"/>
  </r>
  <r>
    <x v="30"/>
    <x v="20"/>
    <x v="0"/>
    <x v="23"/>
    <n v="163"/>
    <n v="32.4"/>
    <n v="2413"/>
    <n v="3.1"/>
    <n v="6.3"/>
    <n v="8.1999999999999993"/>
    <x v="2"/>
  </r>
  <r>
    <x v="31"/>
    <x v="21"/>
    <x v="0"/>
    <x v="24"/>
    <n v="158"/>
    <n v="31.6"/>
    <n v="2111"/>
    <n v="3.4"/>
    <n v="8.8000000000000007"/>
    <n v="6.2"/>
    <x v="2"/>
  </r>
  <r>
    <x v="32"/>
    <x v="10"/>
    <x v="1"/>
    <x v="25"/>
    <n v="151"/>
    <n v="43.9"/>
    <n v="2197"/>
    <n v="2.6"/>
    <n v="2"/>
    <n v="5.7"/>
    <x v="2"/>
  </r>
  <r>
    <x v="33"/>
    <x v="7"/>
    <x v="1"/>
    <x v="26"/>
    <n v="167"/>
    <n v="19.399999999999999"/>
    <n v="2223"/>
    <n v="2"/>
    <n v="0.7"/>
    <n v="6.2"/>
    <x v="1"/>
  </r>
  <r>
    <x v="34"/>
    <x v="12"/>
    <x v="1"/>
    <x v="27"/>
    <n v="175"/>
    <n v="18.899999999999999"/>
    <n v="2855"/>
    <n v="2.9"/>
    <n v="1.2"/>
    <n v="5.6"/>
    <x v="1"/>
  </r>
  <r>
    <x v="35"/>
    <x v="0"/>
    <x v="0"/>
    <x v="28"/>
    <n v="175"/>
    <n v="19.3"/>
    <n v="2792"/>
    <n v="3.1"/>
    <n v="3.8"/>
    <n v="6"/>
    <x v="1"/>
  </r>
  <r>
    <x v="36"/>
    <x v="22"/>
    <x v="0"/>
    <x v="13"/>
    <n v="188"/>
    <n v="23.2"/>
    <n v="1936"/>
    <n v="2.8"/>
    <n v="9.8000000000000007"/>
    <n v="6.7"/>
    <x v="1"/>
  </r>
  <r>
    <x v="37"/>
    <x v="23"/>
    <x v="0"/>
    <x v="27"/>
    <n v="189"/>
    <n v="16.2"/>
    <n v="2095"/>
    <n v="2.2000000000000002"/>
    <n v="9.1"/>
    <n v="6.8"/>
    <x v="3"/>
  </r>
  <r>
    <x v="38"/>
    <x v="21"/>
    <x v="0"/>
    <x v="10"/>
    <n v="158"/>
    <n v="39.299999999999997"/>
    <n v="2825"/>
    <n v="3.4"/>
    <n v="1.4"/>
    <n v="6.6"/>
    <x v="2"/>
  </r>
  <r>
    <x v="39"/>
    <x v="14"/>
    <x v="1"/>
    <x v="29"/>
    <n v="166"/>
    <n v="21.8"/>
    <n v="2599"/>
    <n v="3.2"/>
    <n v="2.9"/>
    <n v="5"/>
    <x v="1"/>
  </r>
  <r>
    <x v="40"/>
    <x v="22"/>
    <x v="1"/>
    <x v="30"/>
    <n v="156"/>
    <n v="25.1"/>
    <n v="2228"/>
    <n v="3.8"/>
    <n v="2.1"/>
    <n v="7.3"/>
    <x v="0"/>
  </r>
  <r>
    <x v="41"/>
    <x v="16"/>
    <x v="1"/>
    <x v="18"/>
    <n v="160"/>
    <n v="33.200000000000003"/>
    <n v="2994"/>
    <n v="1.8"/>
    <n v="7.5"/>
    <n v="7.2"/>
    <x v="2"/>
  </r>
  <r>
    <x v="42"/>
    <x v="24"/>
    <x v="1"/>
    <x v="31"/>
    <n v="150"/>
    <n v="35.6"/>
    <n v="2917"/>
    <n v="3"/>
    <n v="6.4"/>
    <n v="7.2"/>
    <x v="2"/>
  </r>
  <r>
    <x v="43"/>
    <x v="18"/>
    <x v="0"/>
    <x v="32"/>
    <n v="163"/>
    <n v="19.899999999999999"/>
    <n v="1811"/>
    <n v="3.1"/>
    <n v="4.3"/>
    <n v="6.9"/>
    <x v="1"/>
  </r>
  <r>
    <x v="44"/>
    <x v="25"/>
    <x v="1"/>
    <x v="15"/>
    <n v="154"/>
    <n v="35.4"/>
    <n v="2914"/>
    <n v="3.3"/>
    <n v="3.3"/>
    <n v="6.8"/>
    <x v="2"/>
  </r>
  <r>
    <x v="45"/>
    <x v="16"/>
    <x v="0"/>
    <x v="33"/>
    <n v="160"/>
    <n v="19.899999999999999"/>
    <n v="2289"/>
    <n v="1.6"/>
    <n v="6.7"/>
    <n v="6"/>
    <x v="1"/>
  </r>
  <r>
    <x v="46"/>
    <x v="26"/>
    <x v="1"/>
    <x v="34"/>
    <n v="168"/>
    <n v="17.7"/>
    <n v="1811"/>
    <n v="1.8"/>
    <n v="5.3"/>
    <n v="6.3"/>
    <x v="3"/>
  </r>
  <r>
    <x v="47"/>
    <x v="0"/>
    <x v="0"/>
    <x v="35"/>
    <n v="153"/>
    <n v="35.5"/>
    <n v="2561"/>
    <n v="1.9"/>
    <n v="1.8"/>
    <n v="8.5"/>
    <x v="2"/>
  </r>
  <r>
    <x v="48"/>
    <x v="27"/>
    <x v="0"/>
    <x v="15"/>
    <n v="170"/>
    <n v="29.1"/>
    <n v="1983"/>
    <n v="2.6"/>
    <n v="9.6"/>
    <n v="5.6"/>
    <x v="0"/>
  </r>
  <r>
    <x v="49"/>
    <x v="7"/>
    <x v="0"/>
    <x v="36"/>
    <n v="165"/>
    <n v="23.1"/>
    <n v="2859"/>
    <n v="2.6"/>
    <n v="9.8000000000000007"/>
    <n v="8"/>
    <x v="1"/>
  </r>
  <r>
    <x v="50"/>
    <x v="28"/>
    <x v="1"/>
    <x v="12"/>
    <n v="160"/>
    <n v="34.4"/>
    <n v="2597"/>
    <n v="3.4"/>
    <n v="3"/>
    <n v="5.5"/>
    <x v="2"/>
  </r>
  <r>
    <x v="51"/>
    <x v="29"/>
    <x v="1"/>
    <x v="36"/>
    <n v="150"/>
    <n v="28"/>
    <n v="2636"/>
    <n v="2.7"/>
    <n v="4.4000000000000004"/>
    <n v="8.1999999999999993"/>
    <x v="0"/>
  </r>
  <r>
    <x v="52"/>
    <x v="30"/>
    <x v="1"/>
    <x v="19"/>
    <n v="165"/>
    <n v="22.8"/>
    <n v="1973"/>
    <n v="2.6"/>
    <n v="2.8"/>
    <n v="6.8"/>
    <x v="1"/>
  </r>
  <r>
    <x v="53"/>
    <x v="1"/>
    <x v="1"/>
    <x v="20"/>
    <n v="154"/>
    <n v="38.799999999999997"/>
    <n v="2168"/>
    <n v="2.8"/>
    <n v="8.1999999999999993"/>
    <n v="8.9"/>
    <x v="2"/>
  </r>
  <r>
    <x v="54"/>
    <x v="29"/>
    <x v="1"/>
    <x v="37"/>
    <n v="182"/>
    <n v="16.600000000000001"/>
    <n v="2143"/>
    <n v="2.6"/>
    <n v="5.9"/>
    <n v="5.2"/>
    <x v="3"/>
  </r>
  <r>
    <x v="55"/>
    <x v="12"/>
    <x v="1"/>
    <x v="28"/>
    <n v="151"/>
    <n v="25.9"/>
    <n v="2351"/>
    <n v="3.3"/>
    <n v="8.4"/>
    <n v="5.2"/>
    <x v="0"/>
  </r>
  <r>
    <x v="56"/>
    <x v="0"/>
    <x v="1"/>
    <x v="7"/>
    <n v="189"/>
    <n v="16"/>
    <n v="2848"/>
    <n v="2.2999999999999998"/>
    <n v="0.6"/>
    <n v="7.2"/>
    <x v="3"/>
  </r>
  <r>
    <x v="57"/>
    <x v="31"/>
    <x v="1"/>
    <x v="30"/>
    <n v="179"/>
    <n v="19"/>
    <n v="2290"/>
    <n v="2.6"/>
    <n v="3.8"/>
    <n v="8.1999999999999993"/>
    <x v="1"/>
  </r>
  <r>
    <x v="58"/>
    <x v="13"/>
    <x v="1"/>
    <x v="26"/>
    <n v="185"/>
    <n v="15.8"/>
    <n v="2187"/>
    <n v="4"/>
    <n v="1.7"/>
    <n v="6.5"/>
    <x v="3"/>
  </r>
  <r>
    <x v="59"/>
    <x v="32"/>
    <x v="0"/>
    <x v="38"/>
    <n v="173"/>
    <n v="31.4"/>
    <n v="2709"/>
    <n v="3.1"/>
    <n v="10"/>
    <n v="5.3"/>
    <x v="2"/>
  </r>
  <r>
    <x v="60"/>
    <x v="33"/>
    <x v="1"/>
    <x v="32"/>
    <n v="170"/>
    <n v="18.3"/>
    <n v="2483"/>
    <n v="1.7"/>
    <n v="5.7"/>
    <n v="5.0999999999999996"/>
    <x v="3"/>
  </r>
  <r>
    <x v="61"/>
    <x v="19"/>
    <x v="1"/>
    <x v="35"/>
    <n v="163"/>
    <n v="31.2"/>
    <n v="2922"/>
    <n v="3.4"/>
    <n v="8.8000000000000007"/>
    <n v="8.9"/>
    <x v="2"/>
  </r>
  <r>
    <x v="62"/>
    <x v="34"/>
    <x v="0"/>
    <x v="34"/>
    <n v="167"/>
    <n v="17.899999999999999"/>
    <n v="2780"/>
    <n v="3.6"/>
    <n v="0.4"/>
    <n v="6.1"/>
    <x v="3"/>
  </r>
  <r>
    <x v="63"/>
    <x v="22"/>
    <x v="1"/>
    <x v="22"/>
    <n v="164"/>
    <n v="27.5"/>
    <n v="2508"/>
    <n v="1.8"/>
    <n v="7.9"/>
    <n v="5.4"/>
    <x v="0"/>
  </r>
  <r>
    <x v="64"/>
    <x v="15"/>
    <x v="0"/>
    <x v="16"/>
    <n v="184"/>
    <n v="19.5"/>
    <n v="2152"/>
    <n v="1.8"/>
    <n v="8.8000000000000007"/>
    <n v="6.8"/>
    <x v="1"/>
  </r>
  <r>
    <x v="65"/>
    <x v="26"/>
    <x v="1"/>
    <x v="3"/>
    <n v="171"/>
    <n v="31.8"/>
    <n v="2813"/>
    <n v="2.9"/>
    <n v="4.8"/>
    <n v="7"/>
    <x v="2"/>
  </r>
  <r>
    <x v="66"/>
    <x v="16"/>
    <x v="0"/>
    <x v="4"/>
    <n v="187"/>
    <n v="20"/>
    <n v="2605"/>
    <n v="1.7"/>
    <n v="8.1999999999999993"/>
    <n v="5.2"/>
    <x v="1"/>
  </r>
  <r>
    <x v="67"/>
    <x v="28"/>
    <x v="1"/>
    <x v="32"/>
    <n v="186"/>
    <n v="15.3"/>
    <n v="1857"/>
    <n v="2"/>
    <n v="2.4"/>
    <n v="5.4"/>
    <x v="3"/>
  </r>
  <r>
    <x v="68"/>
    <x v="14"/>
    <x v="1"/>
    <x v="15"/>
    <n v="188"/>
    <n v="23.8"/>
    <n v="1899"/>
    <n v="3.1"/>
    <n v="0.8"/>
    <n v="6.9"/>
    <x v="1"/>
  </r>
  <r>
    <x v="69"/>
    <x v="35"/>
    <x v="0"/>
    <x v="0"/>
    <n v="153"/>
    <n v="32.9"/>
    <n v="2152"/>
    <n v="2.2000000000000002"/>
    <n v="2.2000000000000002"/>
    <n v="6.3"/>
    <x v="2"/>
  </r>
  <r>
    <x v="70"/>
    <x v="36"/>
    <x v="0"/>
    <x v="19"/>
    <n v="162"/>
    <n v="23.6"/>
    <n v="2475"/>
    <n v="2.7"/>
    <n v="1.8"/>
    <n v="7.9"/>
    <x v="1"/>
  </r>
  <r>
    <x v="71"/>
    <x v="10"/>
    <x v="1"/>
    <x v="39"/>
    <n v="180"/>
    <n v="27.5"/>
    <n v="2276"/>
    <n v="2.4"/>
    <n v="6.5"/>
    <n v="7.3"/>
    <x v="0"/>
  </r>
  <r>
    <x v="72"/>
    <x v="31"/>
    <x v="0"/>
    <x v="20"/>
    <n v="161"/>
    <n v="35.5"/>
    <n v="2674"/>
    <n v="1.7"/>
    <n v="6.1"/>
    <n v="8.1999999999999993"/>
    <x v="2"/>
  </r>
  <r>
    <x v="73"/>
    <x v="28"/>
    <x v="1"/>
    <x v="40"/>
    <n v="157"/>
    <n v="40.200000000000003"/>
    <n v="2566"/>
    <n v="2.8"/>
    <n v="4.4000000000000004"/>
    <n v="5.2"/>
    <x v="2"/>
  </r>
  <r>
    <x v="74"/>
    <x v="15"/>
    <x v="1"/>
    <x v="34"/>
    <n v="172"/>
    <n v="16.899999999999999"/>
    <n v="2789"/>
    <n v="2.7"/>
    <n v="6.9"/>
    <n v="6.7"/>
    <x v="3"/>
  </r>
  <r>
    <x v="75"/>
    <x v="25"/>
    <x v="1"/>
    <x v="9"/>
    <n v="156"/>
    <n v="30"/>
    <n v="1983"/>
    <n v="2.6"/>
    <n v="2.9"/>
    <n v="7.2"/>
    <x v="2"/>
  </r>
  <r>
    <x v="76"/>
    <x v="24"/>
    <x v="1"/>
    <x v="27"/>
    <n v="178"/>
    <n v="18.3"/>
    <n v="2044"/>
    <n v="3.8"/>
    <n v="9.9"/>
    <n v="5.9"/>
    <x v="3"/>
  </r>
  <r>
    <x v="77"/>
    <x v="9"/>
    <x v="1"/>
    <x v="4"/>
    <n v="158"/>
    <n v="28"/>
    <n v="2250"/>
    <n v="2.2000000000000002"/>
    <n v="5.4"/>
    <n v="8.6"/>
    <x v="0"/>
  </r>
  <r>
    <x v="78"/>
    <x v="36"/>
    <x v="1"/>
    <x v="24"/>
    <n v="167"/>
    <n v="28.3"/>
    <n v="2263"/>
    <n v="2.2999999999999998"/>
    <n v="6.3"/>
    <n v="6.8"/>
    <x v="0"/>
  </r>
  <r>
    <x v="79"/>
    <x v="18"/>
    <x v="1"/>
    <x v="41"/>
    <n v="181"/>
    <n v="29"/>
    <n v="2091"/>
    <n v="3.7"/>
    <n v="5.4"/>
    <n v="6.7"/>
    <x v="0"/>
  </r>
  <r>
    <x v="80"/>
    <x v="8"/>
    <x v="0"/>
    <x v="18"/>
    <n v="190"/>
    <n v="23.5"/>
    <n v="1844"/>
    <n v="2.8"/>
    <n v="5.2"/>
    <n v="7.7"/>
    <x v="1"/>
  </r>
  <r>
    <x v="81"/>
    <x v="0"/>
    <x v="1"/>
    <x v="11"/>
    <n v="168"/>
    <n v="27.6"/>
    <n v="2660"/>
    <n v="2.8"/>
    <n v="8.8000000000000007"/>
    <n v="8.8000000000000007"/>
    <x v="0"/>
  </r>
  <r>
    <x v="82"/>
    <x v="37"/>
    <x v="0"/>
    <x v="12"/>
    <n v="177"/>
    <n v="28.1"/>
    <n v="2886"/>
    <n v="2.2000000000000002"/>
    <n v="9"/>
    <n v="7.2"/>
    <x v="0"/>
  </r>
  <r>
    <x v="83"/>
    <x v="28"/>
    <x v="0"/>
    <x v="42"/>
    <n v="178"/>
    <n v="20.2"/>
    <n v="2239"/>
    <n v="2.9"/>
    <n v="1.3"/>
    <n v="5.5"/>
    <x v="1"/>
  </r>
  <r>
    <x v="84"/>
    <x v="17"/>
    <x v="0"/>
    <x v="16"/>
    <n v="186"/>
    <n v="19.100000000000001"/>
    <n v="2563"/>
    <n v="2.9"/>
    <n v="4.5"/>
    <n v="8.199999999999999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7D6B7C-6D54-49B6-B94D-986E5CAEF7C1}" name="PivotTable4"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61">
  <location ref="F35:H44" firstHeaderRow="1" firstDataRow="2" firstDataCol="1"/>
  <pivotFields count="11">
    <pivotField showAll="0">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axis="axisRow" showAll="0">
      <items count="10">
        <item x="0"/>
        <item x="1"/>
        <item x="2"/>
        <item x="3"/>
        <item x="4"/>
        <item x="5"/>
        <item x="6"/>
        <item x="7"/>
        <item x="8"/>
        <item t="default"/>
      </items>
    </pivotField>
    <pivotField showAll="0">
      <items count="3">
        <item x="0"/>
        <item x="1"/>
        <item t="default"/>
      </items>
    </pivotField>
    <pivotField showAll="0"/>
    <pivotField showAll="0"/>
    <pivotField showAll="0"/>
    <pivotField showAll="0"/>
    <pivotField showAll="0"/>
    <pivotField dataField="1" showAll="0"/>
    <pivotField dataField="1" showAll="0"/>
    <pivotField showAll="0">
      <items count="5">
        <item x="1"/>
        <item x="2"/>
        <item x="0"/>
        <item x="3"/>
        <item t="default"/>
      </items>
    </pivotField>
  </pivotFields>
  <rowFields count="1">
    <field x="1"/>
  </rowFields>
  <rowItems count="8">
    <i>
      <x v="1"/>
    </i>
    <i>
      <x v="2"/>
    </i>
    <i>
      <x v="3"/>
    </i>
    <i>
      <x v="4"/>
    </i>
    <i>
      <x v="5"/>
    </i>
    <i>
      <x v="6"/>
    </i>
    <i>
      <x v="7"/>
    </i>
    <i t="grand">
      <x/>
    </i>
  </rowItems>
  <colFields count="1">
    <field x="-2"/>
  </colFields>
  <colItems count="2">
    <i>
      <x/>
    </i>
    <i i="1">
      <x v="1"/>
    </i>
  </colItems>
  <dataFields count="2">
    <dataField name="Average of Sleep (hrs/day)" fld="9" subtotal="average" baseField="1" baseItem="1"/>
    <dataField name="Average of Exercise (hrs/week)" fld="8" subtotal="average" baseField="1" baseItem="7"/>
  </dataFields>
  <chartFormats count="6">
    <chartFormat chart="46" format="1" series="1">
      <pivotArea type="data" outline="0" fieldPosition="0">
        <references count="1">
          <reference field="4294967294" count="1" selected="0">
            <x v="0"/>
          </reference>
        </references>
      </pivotArea>
    </chartFormat>
    <chartFormat chart="49" format="7" series="1">
      <pivotArea type="data" outline="0" fieldPosition="0">
        <references count="1">
          <reference field="4294967294" count="1" selected="0">
            <x v="0"/>
          </reference>
        </references>
      </pivotArea>
    </chartFormat>
    <chartFormat chart="56" format="0" series="1">
      <pivotArea type="data" outline="0" fieldPosition="0">
        <references count="1">
          <reference field="4294967294" count="1" selected="0">
            <x v="0"/>
          </reference>
        </references>
      </pivotArea>
    </chartFormat>
    <chartFormat chart="56" format="1" series="1">
      <pivotArea type="data" outline="0" fieldPosition="0">
        <references count="1">
          <reference field="4294967294" count="1" selected="0">
            <x v="1"/>
          </reference>
        </references>
      </pivotArea>
    </chartFormat>
    <chartFormat chart="60" format="4" series="1">
      <pivotArea type="data" outline="0" fieldPosition="0">
        <references count="1">
          <reference field="4294967294" count="1" selected="0">
            <x v="0"/>
          </reference>
        </references>
      </pivotArea>
    </chartFormat>
    <chartFormat chart="6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C75250-DE52-4A2E-8A4A-FACE1F478FFA}" name="PivotTable3"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50">
  <location ref="F14:I18" firstHeaderRow="1" firstDataRow="2" firstDataCol="1"/>
  <pivotFields count="11">
    <pivotField showAll="0">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showAll="0">
      <items count="10">
        <item x="0"/>
        <item x="1"/>
        <item x="2"/>
        <item x="3"/>
        <item x="4"/>
        <item x="5"/>
        <item x="6"/>
        <item x="7"/>
        <item x="8"/>
        <item t="default"/>
      </items>
    </pivotField>
    <pivotField axis="axisRow" showAll="0">
      <items count="3">
        <item x="0"/>
        <item x="1"/>
        <item t="default"/>
      </items>
    </pivotField>
    <pivotField showAll="0"/>
    <pivotField showAll="0"/>
    <pivotField dataField="1" showAll="0"/>
    <pivotField showAll="0"/>
    <pivotField showAll="0"/>
    <pivotField dataField="1" showAll="0"/>
    <pivotField dataField="1" showAll="0"/>
    <pivotField showAll="0">
      <items count="5">
        <item x="1"/>
        <item x="2"/>
        <item x="0"/>
        <item x="3"/>
        <item t="default"/>
      </items>
    </pivotField>
  </pivotFields>
  <rowFields count="1">
    <field x="2"/>
  </rowFields>
  <rowItems count="3">
    <i>
      <x/>
    </i>
    <i>
      <x v="1"/>
    </i>
    <i t="grand">
      <x/>
    </i>
  </rowItems>
  <colFields count="1">
    <field x="-2"/>
  </colFields>
  <colItems count="3">
    <i>
      <x/>
    </i>
    <i i="1">
      <x v="1"/>
    </i>
    <i i="2">
      <x v="2"/>
    </i>
  </colItems>
  <dataFields count="3">
    <dataField name="Average of BMI" fld="5" subtotal="average" baseField="10" baseItem="0"/>
    <dataField name="Average of Sleep (hrs/day)" fld="9" subtotal="average" baseField="2" baseItem="0"/>
    <dataField name="Average of Exercise (hrs/week)" fld="8" subtotal="average" baseField="2" baseItem="0"/>
  </dataFields>
  <chartFormats count="6">
    <chartFormat chart="46" format="0" series="1">
      <pivotArea type="data" outline="0" fieldPosition="0">
        <references count="1">
          <reference field="4294967294" count="1" selected="0">
            <x v="0"/>
          </reference>
        </references>
      </pivotArea>
    </chartFormat>
    <chartFormat chart="46" format="1" series="1">
      <pivotArea type="data" outline="0" fieldPosition="0">
        <references count="1">
          <reference field="4294967294" count="1" selected="0">
            <x v="1"/>
          </reference>
        </references>
      </pivotArea>
    </chartFormat>
    <chartFormat chart="46" format="2" series="1">
      <pivotArea type="data" outline="0" fieldPosition="0">
        <references count="1">
          <reference field="4294967294" count="1" selected="0">
            <x v="2"/>
          </reference>
        </references>
      </pivotArea>
    </chartFormat>
    <chartFormat chart="49" format="6" series="1">
      <pivotArea type="data" outline="0" fieldPosition="0">
        <references count="1">
          <reference field="4294967294" count="1" selected="0">
            <x v="0"/>
          </reference>
        </references>
      </pivotArea>
    </chartFormat>
    <chartFormat chart="49" format="7" series="1">
      <pivotArea type="data" outline="0" fieldPosition="0">
        <references count="1">
          <reference field="4294967294" count="1" selected="0">
            <x v="1"/>
          </reference>
        </references>
      </pivotArea>
    </chartFormat>
    <chartFormat chart="49"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7A6842-5E2E-4BB4-A30D-50DC1A3A67F9}" name="PivotTable1"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45">
  <location ref="F2:G7" firstHeaderRow="1" firstDataRow="1" firstDataCol="1"/>
  <pivotFields count="11">
    <pivotField dataField="1" showAll="0">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showAll="0">
      <items count="10">
        <item x="0"/>
        <item x="1"/>
        <item x="2"/>
        <item x="3"/>
        <item x="4"/>
        <item x="5"/>
        <item x="6"/>
        <item x="7"/>
        <item x="8"/>
        <item t="default"/>
      </items>
    </pivotField>
    <pivotField showAll="0">
      <items count="3">
        <item x="0"/>
        <item x="1"/>
        <item t="default"/>
      </items>
    </pivotField>
    <pivotField showAll="0"/>
    <pivotField showAll="0"/>
    <pivotField showAll="0"/>
    <pivotField showAll="0"/>
    <pivotField showAll="0"/>
    <pivotField showAll="0"/>
    <pivotField showAll="0"/>
    <pivotField axis="axisRow" showAll="0">
      <items count="5">
        <item x="1"/>
        <item x="2"/>
        <item x="0"/>
        <item x="3"/>
        <item t="default"/>
      </items>
    </pivotField>
  </pivotFields>
  <rowFields count="1">
    <field x="10"/>
  </rowFields>
  <rowItems count="5">
    <i>
      <x/>
    </i>
    <i>
      <x v="1"/>
    </i>
    <i>
      <x v="2"/>
    </i>
    <i>
      <x v="3"/>
    </i>
    <i t="grand">
      <x/>
    </i>
  </rowItems>
  <colItems count="1">
    <i/>
  </colItems>
  <dataFields count="1">
    <dataField name="Count of Person ID" fld="0" subtotal="count" baseField="10" baseItem="0"/>
  </dataFields>
  <chartFormats count="5">
    <chartFormat chart="44" format="6" series="1">
      <pivotArea type="data" outline="0" fieldPosition="0">
        <references count="1">
          <reference field="4294967294" count="1" selected="0">
            <x v="0"/>
          </reference>
        </references>
      </pivotArea>
    </chartFormat>
    <chartFormat chart="44" format="7">
      <pivotArea type="data" outline="0" fieldPosition="0">
        <references count="2">
          <reference field="4294967294" count="1" selected="0">
            <x v="0"/>
          </reference>
          <reference field="10" count="1" selected="0">
            <x v="0"/>
          </reference>
        </references>
      </pivotArea>
    </chartFormat>
    <chartFormat chart="44" format="8">
      <pivotArea type="data" outline="0" fieldPosition="0">
        <references count="2">
          <reference field="4294967294" count="1" selected="0">
            <x v="0"/>
          </reference>
          <reference field="10" count="1" selected="0">
            <x v="1"/>
          </reference>
        </references>
      </pivotArea>
    </chartFormat>
    <chartFormat chart="44" format="9">
      <pivotArea type="data" outline="0" fieldPosition="0">
        <references count="2">
          <reference field="4294967294" count="1" selected="0">
            <x v="0"/>
          </reference>
          <reference field="10" count="1" selected="0">
            <x v="2"/>
          </reference>
        </references>
      </pivotArea>
    </chartFormat>
    <chartFormat chart="44" format="10">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7FFA5C-6AA8-4466-B892-020A1EB6ADE4}" name="PivotTable2"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63">
  <location ref="A2:C57" firstHeaderRow="1" firstDataRow="2" firstDataCol="1"/>
  <pivotFields count="11">
    <pivotField showAll="0">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axis="axisRow" showAll="0">
      <items count="10">
        <item x="0"/>
        <item x="1"/>
        <item x="2"/>
        <item x="3"/>
        <item x="4"/>
        <item x="5"/>
        <item x="6"/>
        <item x="7"/>
        <item x="8"/>
        <item t="default"/>
      </items>
    </pivotField>
    <pivotField axis="axisRow" showAll="0">
      <items count="3">
        <item x="0"/>
        <item x="1"/>
        <item t="default"/>
      </items>
    </pivotField>
    <pivotField showAll="0"/>
    <pivotField showAll="0"/>
    <pivotField dataField="1" showAll="0"/>
    <pivotField dataField="1" showAll="0"/>
    <pivotField showAll="0"/>
    <pivotField showAll="0"/>
    <pivotField showAll="0"/>
    <pivotField axis="axisRow" showAll="0">
      <items count="5">
        <item x="1"/>
        <item x="2"/>
        <item x="0"/>
        <item x="3"/>
        <item t="default"/>
      </items>
    </pivotField>
  </pivotFields>
  <rowFields count="3">
    <field x="10"/>
    <field x="2"/>
    <field x="1"/>
  </rowFields>
  <rowItems count="54">
    <i>
      <x/>
    </i>
    <i r="1">
      <x/>
    </i>
    <i r="2">
      <x v="1"/>
    </i>
    <i r="2">
      <x v="2"/>
    </i>
    <i r="2">
      <x v="3"/>
    </i>
    <i r="2">
      <x v="4"/>
    </i>
    <i r="2">
      <x v="6"/>
    </i>
    <i r="2">
      <x v="7"/>
    </i>
    <i r="1">
      <x v="1"/>
    </i>
    <i r="2">
      <x v="1"/>
    </i>
    <i r="2">
      <x v="2"/>
    </i>
    <i r="2">
      <x v="3"/>
    </i>
    <i r="2">
      <x v="5"/>
    </i>
    <i r="2">
      <x v="6"/>
    </i>
    <i r="2">
      <x v="7"/>
    </i>
    <i>
      <x v="1"/>
    </i>
    <i r="1">
      <x/>
    </i>
    <i r="2">
      <x v="1"/>
    </i>
    <i r="2">
      <x v="3"/>
    </i>
    <i r="2">
      <x v="4"/>
    </i>
    <i r="2">
      <x v="6"/>
    </i>
    <i r="2">
      <x v="7"/>
    </i>
    <i r="1">
      <x v="1"/>
    </i>
    <i r="2">
      <x v="1"/>
    </i>
    <i r="2">
      <x v="2"/>
    </i>
    <i r="2">
      <x v="3"/>
    </i>
    <i r="2">
      <x v="5"/>
    </i>
    <i r="2">
      <x v="6"/>
    </i>
    <i r="2">
      <x v="7"/>
    </i>
    <i>
      <x v="2"/>
    </i>
    <i r="1">
      <x/>
    </i>
    <i r="2">
      <x v="2"/>
    </i>
    <i r="2">
      <x v="4"/>
    </i>
    <i r="2">
      <x v="6"/>
    </i>
    <i r="2">
      <x v="7"/>
    </i>
    <i r="1">
      <x v="1"/>
    </i>
    <i r="2">
      <x v="1"/>
    </i>
    <i r="2">
      <x v="2"/>
    </i>
    <i r="2">
      <x v="4"/>
    </i>
    <i r="2">
      <x v="5"/>
    </i>
    <i r="2">
      <x v="6"/>
    </i>
    <i r="2">
      <x v="7"/>
    </i>
    <i>
      <x v="3"/>
    </i>
    <i r="1">
      <x/>
    </i>
    <i r="2">
      <x v="1"/>
    </i>
    <i r="2">
      <x v="3"/>
    </i>
    <i r="2">
      <x v="5"/>
    </i>
    <i r="1">
      <x v="1"/>
    </i>
    <i r="2">
      <x v="2"/>
    </i>
    <i r="2">
      <x v="3"/>
    </i>
    <i r="2">
      <x v="4"/>
    </i>
    <i r="2">
      <x v="5"/>
    </i>
    <i r="2">
      <x v="6"/>
    </i>
    <i t="grand">
      <x/>
    </i>
  </rowItems>
  <colFields count="1">
    <field x="-2"/>
  </colFields>
  <colItems count="2">
    <i>
      <x/>
    </i>
    <i i="1">
      <x v="1"/>
    </i>
  </colItems>
  <dataFields count="2">
    <dataField name="Average of BMI" fld="5" subtotal="average" baseField="1" baseItem="0"/>
    <dataField name="Average of Daily Calories" fld="6" subtotal="average" baseField="10" baseItem="0"/>
  </dataFields>
  <chartFormats count="2">
    <chartFormat chart="60" format="4" series="1">
      <pivotArea type="data" outline="0" fieldPosition="0">
        <references count="1">
          <reference field="4294967294" count="1" selected="0">
            <x v="0"/>
          </reference>
        </references>
      </pivotArea>
    </chartFormat>
    <chartFormat chart="6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MI_Category" xr10:uid="{8416CB30-2224-4AA4-B244-EBEE63E62775}" sourceName="BMI Category">
  <pivotTables>
    <pivotTable tabId="2" name="PivotTable2"/>
    <pivotTable tabId="2" name="PivotTable1"/>
    <pivotTable tabId="2" name="PivotTable3"/>
    <pivotTable tabId="2" name="PivotTable4"/>
  </pivotTables>
  <data>
    <tabular pivotCacheId="1000313014">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MI Category 1" xr10:uid="{BB75D160-BC7B-45E2-8521-B32CE74D3F57}" cache="Slicer_BMI_Category" caption="BMI Category" columnCount="4" style="SlicerStyleDark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86" totalsRowShown="0" headerRowDxfId="15" dataDxfId="13" headerRowBorderDxfId="14" tableBorderDxfId="12" totalsRowBorderDxfId="11">
  <autoFilter ref="A1:K86" xr:uid="{00000000-0009-0000-0100-000001000000}"/>
  <tableColumns count="11">
    <tableColumn id="1" xr3:uid="{00000000-0010-0000-0000-000001000000}" name="Person ID" dataDxfId="10"/>
    <tableColumn id="2" xr3:uid="{00000000-0010-0000-0000-000002000000}" name="Age" dataDxfId="9"/>
    <tableColumn id="3" xr3:uid="{00000000-0010-0000-0000-000003000000}" name="Gender" dataDxfId="8"/>
    <tableColumn id="4" xr3:uid="{00000000-0010-0000-0000-000004000000}" name="Weight (kg)" dataDxfId="7"/>
    <tableColumn id="5" xr3:uid="{00000000-0010-0000-0000-000005000000}" name="Height (cm)" dataDxfId="6"/>
    <tableColumn id="6" xr3:uid="{00000000-0010-0000-0000-000006000000}" name="BMI" dataDxfId="5"/>
    <tableColumn id="7" xr3:uid="{00000000-0010-0000-0000-000007000000}" name="Daily Calories" dataDxfId="4"/>
    <tableColumn id="8" xr3:uid="{00000000-0010-0000-0000-000008000000}" name="Water Intake (L)" dataDxfId="3"/>
    <tableColumn id="9" xr3:uid="{00000000-0010-0000-0000-000009000000}" name="Exercise (hrs/week)" dataDxfId="2"/>
    <tableColumn id="10" xr3:uid="{00000000-0010-0000-0000-00000A000000}" name="Sleep (hrs/day)" dataDxfId="1"/>
    <tableColumn id="11" xr3:uid="{00000000-0010-0000-0000-00000B000000}" name="BMI Category"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6"/>
  <sheetViews>
    <sheetView workbookViewId="0">
      <selection activeCell="J1" sqref="J1"/>
    </sheetView>
  </sheetViews>
  <sheetFormatPr defaultRowHeight="15" x14ac:dyDescent="0.25"/>
  <cols>
    <col min="1" max="1" width="10.5703125" customWidth="1"/>
    <col min="4" max="5" width="12.140625" customWidth="1"/>
    <col min="6" max="6" width="9.140625" customWidth="1"/>
    <col min="7" max="7" width="13.42578125" customWidth="1"/>
    <col min="8" max="8" width="15.85546875" customWidth="1"/>
    <col min="9" max="9" width="18.5703125" customWidth="1"/>
    <col min="10" max="10" width="15" customWidth="1"/>
    <col min="11" max="11" width="13.5703125" customWidth="1"/>
  </cols>
  <sheetData>
    <row r="1" spans="1:11" x14ac:dyDescent="0.25">
      <c r="A1" s="6" t="s">
        <v>0</v>
      </c>
      <c r="B1" s="7" t="s">
        <v>1</v>
      </c>
      <c r="C1" s="7" t="s">
        <v>2</v>
      </c>
      <c r="D1" s="7" t="s">
        <v>3</v>
      </c>
      <c r="E1" s="7" t="s">
        <v>4</v>
      </c>
      <c r="F1" s="7" t="s">
        <v>5</v>
      </c>
      <c r="G1" s="7" t="s">
        <v>6</v>
      </c>
      <c r="H1" s="7" t="s">
        <v>7</v>
      </c>
      <c r="I1" s="7" t="s">
        <v>8</v>
      </c>
      <c r="J1" s="7" t="s">
        <v>9</v>
      </c>
      <c r="K1" s="8" t="s">
        <v>10</v>
      </c>
    </row>
    <row r="2" spans="1:11" x14ac:dyDescent="0.25">
      <c r="A2" s="3">
        <v>1</v>
      </c>
      <c r="B2" s="1">
        <v>51</v>
      </c>
      <c r="C2" s="1" t="s">
        <v>11</v>
      </c>
      <c r="D2" s="1">
        <v>77</v>
      </c>
      <c r="E2" s="1">
        <v>164</v>
      </c>
      <c r="F2" s="1">
        <v>28.6</v>
      </c>
      <c r="G2" s="1">
        <v>2342</v>
      </c>
      <c r="H2" s="1">
        <v>3.4</v>
      </c>
      <c r="I2" s="1">
        <v>3.6</v>
      </c>
      <c r="J2" s="1">
        <v>5.0999999999999996</v>
      </c>
      <c r="K2" s="5" t="s">
        <v>12</v>
      </c>
    </row>
    <row r="3" spans="1:11" x14ac:dyDescent="0.25">
      <c r="A3" s="4">
        <v>2</v>
      </c>
      <c r="B3" s="2">
        <v>18</v>
      </c>
      <c r="C3" s="2" t="s">
        <v>11</v>
      </c>
      <c r="D3" s="2">
        <v>67</v>
      </c>
      <c r="E3" s="2">
        <v>189</v>
      </c>
      <c r="F3" s="2">
        <v>18.8</v>
      </c>
      <c r="G3" s="2">
        <v>2579</v>
      </c>
      <c r="H3" s="2">
        <v>2.9</v>
      </c>
      <c r="I3" s="2">
        <v>9.1</v>
      </c>
      <c r="J3" s="2">
        <v>8.1</v>
      </c>
      <c r="K3" s="5" t="s">
        <v>13</v>
      </c>
    </row>
    <row r="4" spans="1:11" x14ac:dyDescent="0.25">
      <c r="A4" s="3">
        <v>3</v>
      </c>
      <c r="B4" s="1">
        <v>32</v>
      </c>
      <c r="C4" s="1" t="s">
        <v>11</v>
      </c>
      <c r="D4" s="1">
        <v>75</v>
      </c>
      <c r="E4" s="1">
        <v>155</v>
      </c>
      <c r="F4" s="1">
        <v>31.2</v>
      </c>
      <c r="G4" s="1">
        <v>2177</v>
      </c>
      <c r="H4" s="1">
        <v>2.2999999999999998</v>
      </c>
      <c r="I4" s="1">
        <v>5.4</v>
      </c>
      <c r="J4" s="1">
        <v>7</v>
      </c>
      <c r="K4" s="5" t="s">
        <v>14</v>
      </c>
    </row>
    <row r="5" spans="1:11" x14ac:dyDescent="0.25">
      <c r="A5" s="4">
        <v>4</v>
      </c>
      <c r="B5" s="2">
        <v>51</v>
      </c>
      <c r="C5" s="2" t="s">
        <v>15</v>
      </c>
      <c r="D5" s="2">
        <v>93</v>
      </c>
      <c r="E5" s="2">
        <v>183</v>
      </c>
      <c r="F5" s="2">
        <v>27.8</v>
      </c>
      <c r="G5" s="2">
        <v>1978</v>
      </c>
      <c r="H5" s="2">
        <v>1.5</v>
      </c>
      <c r="I5" s="2">
        <v>9.6</v>
      </c>
      <c r="J5" s="2">
        <v>8.3000000000000007</v>
      </c>
      <c r="K5" s="5" t="s">
        <v>12</v>
      </c>
    </row>
    <row r="6" spans="1:11" x14ac:dyDescent="0.25">
      <c r="A6" s="3">
        <v>5</v>
      </c>
      <c r="B6" s="1">
        <v>45</v>
      </c>
      <c r="C6" s="1" t="s">
        <v>15</v>
      </c>
      <c r="D6" s="1">
        <v>93</v>
      </c>
      <c r="E6" s="1">
        <v>190</v>
      </c>
      <c r="F6" s="1">
        <v>25.8</v>
      </c>
      <c r="G6" s="1">
        <v>2696</v>
      </c>
      <c r="H6" s="1">
        <v>3</v>
      </c>
      <c r="I6" s="1">
        <v>5.2</v>
      </c>
      <c r="J6" s="1">
        <v>8.3000000000000007</v>
      </c>
      <c r="K6" s="5" t="s">
        <v>12</v>
      </c>
    </row>
    <row r="7" spans="1:11" x14ac:dyDescent="0.25">
      <c r="A7" s="4">
        <v>6</v>
      </c>
      <c r="B7" s="2">
        <v>56</v>
      </c>
      <c r="C7" s="2" t="s">
        <v>15</v>
      </c>
      <c r="D7" s="2">
        <v>70</v>
      </c>
      <c r="E7" s="2">
        <v>161</v>
      </c>
      <c r="F7" s="2">
        <v>27</v>
      </c>
      <c r="G7" s="2">
        <v>2857</v>
      </c>
      <c r="H7" s="2">
        <v>1.5</v>
      </c>
      <c r="I7" s="2">
        <v>1.5</v>
      </c>
      <c r="J7" s="2">
        <v>5.9</v>
      </c>
      <c r="K7" s="5" t="s">
        <v>12</v>
      </c>
    </row>
    <row r="8" spans="1:11" x14ac:dyDescent="0.25">
      <c r="A8" s="3">
        <v>7</v>
      </c>
      <c r="B8" s="1">
        <v>33</v>
      </c>
      <c r="C8" s="1" t="s">
        <v>11</v>
      </c>
      <c r="D8" s="1">
        <v>97</v>
      </c>
      <c r="E8" s="1">
        <v>165</v>
      </c>
      <c r="F8" s="1">
        <v>35.6</v>
      </c>
      <c r="G8" s="1">
        <v>2783</v>
      </c>
      <c r="H8" s="1">
        <v>4</v>
      </c>
      <c r="I8" s="1">
        <v>3.6</v>
      </c>
      <c r="J8" s="1">
        <v>8.4</v>
      </c>
      <c r="K8" s="5" t="s">
        <v>14</v>
      </c>
    </row>
    <row r="9" spans="1:11" x14ac:dyDescent="0.25">
      <c r="A9" s="4">
        <v>8</v>
      </c>
      <c r="B9" s="2">
        <v>29</v>
      </c>
      <c r="C9" s="2" t="s">
        <v>15</v>
      </c>
      <c r="D9" s="2">
        <v>76</v>
      </c>
      <c r="E9" s="2">
        <v>181</v>
      </c>
      <c r="F9" s="2">
        <v>23.2</v>
      </c>
      <c r="G9" s="2">
        <v>2001</v>
      </c>
      <c r="H9" s="2">
        <v>1.8</v>
      </c>
      <c r="I9" s="2">
        <v>3.4</v>
      </c>
      <c r="J9" s="2">
        <v>6.9</v>
      </c>
      <c r="K9" s="5" t="s">
        <v>13</v>
      </c>
    </row>
    <row r="10" spans="1:11" x14ac:dyDescent="0.25">
      <c r="A10" s="3">
        <v>9</v>
      </c>
      <c r="B10" s="1">
        <v>32</v>
      </c>
      <c r="C10" s="1" t="s">
        <v>15</v>
      </c>
      <c r="D10" s="1">
        <v>57</v>
      </c>
      <c r="E10" s="1">
        <v>178</v>
      </c>
      <c r="F10" s="1">
        <v>18</v>
      </c>
      <c r="G10" s="1">
        <v>2228</v>
      </c>
      <c r="H10" s="1">
        <v>3.8</v>
      </c>
      <c r="I10" s="1">
        <v>9</v>
      </c>
      <c r="J10" s="1">
        <v>5.7</v>
      </c>
      <c r="K10" s="5" t="s">
        <v>16</v>
      </c>
    </row>
    <row r="11" spans="1:11" x14ac:dyDescent="0.25">
      <c r="A11" s="4">
        <v>10</v>
      </c>
      <c r="B11" s="2">
        <v>20</v>
      </c>
      <c r="C11" s="2" t="s">
        <v>15</v>
      </c>
      <c r="D11" s="2">
        <v>72</v>
      </c>
      <c r="E11" s="2">
        <v>172</v>
      </c>
      <c r="F11" s="2">
        <v>24.3</v>
      </c>
      <c r="G11" s="2">
        <v>2535</v>
      </c>
      <c r="H11" s="2">
        <v>1.9</v>
      </c>
      <c r="I11" s="2">
        <v>9.9</v>
      </c>
      <c r="J11" s="2">
        <v>6.7</v>
      </c>
      <c r="K11" s="5" t="s">
        <v>13</v>
      </c>
    </row>
    <row r="12" spans="1:11" x14ac:dyDescent="0.25">
      <c r="A12" s="3">
        <v>11</v>
      </c>
      <c r="B12" s="1">
        <v>20</v>
      </c>
      <c r="C12" s="1" t="s">
        <v>15</v>
      </c>
      <c r="D12" s="1">
        <v>73</v>
      </c>
      <c r="E12" s="1">
        <v>165</v>
      </c>
      <c r="F12" s="1">
        <v>26.8</v>
      </c>
      <c r="G12" s="1">
        <v>2973</v>
      </c>
      <c r="H12" s="1">
        <v>2.5</v>
      </c>
      <c r="I12" s="1">
        <v>2.5</v>
      </c>
      <c r="J12" s="1">
        <v>8</v>
      </c>
      <c r="K12" s="5" t="s">
        <v>12</v>
      </c>
    </row>
    <row r="13" spans="1:11" x14ac:dyDescent="0.25">
      <c r="A13" s="4">
        <v>12</v>
      </c>
      <c r="B13" s="2">
        <v>22</v>
      </c>
      <c r="C13" s="2" t="s">
        <v>11</v>
      </c>
      <c r="D13" s="2">
        <v>98</v>
      </c>
      <c r="E13" s="2">
        <v>150</v>
      </c>
      <c r="F13" s="2">
        <v>43.6</v>
      </c>
      <c r="G13" s="2">
        <v>2596</v>
      </c>
      <c r="H13" s="2">
        <v>3.8</v>
      </c>
      <c r="I13" s="2">
        <v>8.4</v>
      </c>
      <c r="J13" s="2">
        <v>6.1</v>
      </c>
      <c r="K13" s="5" t="s">
        <v>14</v>
      </c>
    </row>
    <row r="14" spans="1:11" x14ac:dyDescent="0.25">
      <c r="A14" s="3">
        <v>13</v>
      </c>
      <c r="B14" s="1">
        <v>43</v>
      </c>
      <c r="C14" s="1" t="s">
        <v>15</v>
      </c>
      <c r="D14" s="1">
        <v>78</v>
      </c>
      <c r="E14" s="1">
        <v>152</v>
      </c>
      <c r="F14" s="1">
        <v>33.799999999999997</v>
      </c>
      <c r="G14" s="1">
        <v>2811</v>
      </c>
      <c r="H14" s="1">
        <v>2.7</v>
      </c>
      <c r="I14" s="1">
        <v>4.9000000000000004</v>
      </c>
      <c r="J14" s="1">
        <v>5.3</v>
      </c>
      <c r="K14" s="5" t="s">
        <v>14</v>
      </c>
    </row>
    <row r="15" spans="1:11" x14ac:dyDescent="0.25">
      <c r="A15" s="4">
        <v>14</v>
      </c>
      <c r="B15" s="2">
        <v>50</v>
      </c>
      <c r="C15" s="2" t="s">
        <v>11</v>
      </c>
      <c r="D15" s="2">
        <v>88</v>
      </c>
      <c r="E15" s="2">
        <v>174</v>
      </c>
      <c r="F15" s="2">
        <v>29.1</v>
      </c>
      <c r="G15" s="2">
        <v>1984</v>
      </c>
      <c r="H15" s="2">
        <v>1.8</v>
      </c>
      <c r="I15" s="2">
        <v>4.0999999999999996</v>
      </c>
      <c r="J15" s="2">
        <v>6.4</v>
      </c>
      <c r="K15" s="5" t="s">
        <v>12</v>
      </c>
    </row>
    <row r="16" spans="1:11" x14ac:dyDescent="0.25">
      <c r="A16" s="3">
        <v>15</v>
      </c>
      <c r="B16" s="1">
        <v>20</v>
      </c>
      <c r="C16" s="1" t="s">
        <v>11</v>
      </c>
      <c r="D16" s="1">
        <v>82</v>
      </c>
      <c r="E16" s="1">
        <v>152</v>
      </c>
      <c r="F16" s="1">
        <v>35.5</v>
      </c>
      <c r="G16" s="1">
        <v>2076</v>
      </c>
      <c r="H16" s="1">
        <v>2.2000000000000002</v>
      </c>
      <c r="I16" s="1">
        <v>2.4</v>
      </c>
      <c r="J16" s="1">
        <v>6.8</v>
      </c>
      <c r="K16" s="5" t="s">
        <v>14</v>
      </c>
    </row>
    <row r="17" spans="1:11" x14ac:dyDescent="0.25">
      <c r="A17" s="4">
        <v>16</v>
      </c>
      <c r="B17" s="2">
        <v>20</v>
      </c>
      <c r="C17" s="2" t="s">
        <v>15</v>
      </c>
      <c r="D17" s="2">
        <v>56</v>
      </c>
      <c r="E17" s="2">
        <v>155</v>
      </c>
      <c r="F17" s="2">
        <v>23.3</v>
      </c>
      <c r="G17" s="2">
        <v>2740</v>
      </c>
      <c r="H17" s="2">
        <v>2.2999999999999998</v>
      </c>
      <c r="I17" s="2">
        <v>9</v>
      </c>
      <c r="J17" s="2">
        <v>5.4</v>
      </c>
      <c r="K17" s="5" t="s">
        <v>13</v>
      </c>
    </row>
    <row r="18" spans="1:11" x14ac:dyDescent="0.25">
      <c r="A18" s="3">
        <v>17</v>
      </c>
      <c r="B18" s="1">
        <v>41</v>
      </c>
      <c r="C18" s="1" t="s">
        <v>11</v>
      </c>
      <c r="D18" s="1">
        <v>84</v>
      </c>
      <c r="E18" s="1">
        <v>182</v>
      </c>
      <c r="F18" s="1">
        <v>25.4</v>
      </c>
      <c r="G18" s="1">
        <v>2381</v>
      </c>
      <c r="H18" s="1">
        <v>2.6</v>
      </c>
      <c r="I18" s="1">
        <v>4.4000000000000004</v>
      </c>
      <c r="J18" s="1">
        <v>5.9</v>
      </c>
      <c r="K18" s="5" t="s">
        <v>12</v>
      </c>
    </row>
    <row r="19" spans="1:11" x14ac:dyDescent="0.25">
      <c r="A19" s="4">
        <v>18</v>
      </c>
      <c r="B19" s="2">
        <v>27</v>
      </c>
      <c r="C19" s="2" t="s">
        <v>11</v>
      </c>
      <c r="D19" s="2">
        <v>66</v>
      </c>
      <c r="E19" s="2">
        <v>172</v>
      </c>
      <c r="F19" s="2">
        <v>22.3</v>
      </c>
      <c r="G19" s="2">
        <v>2717</v>
      </c>
      <c r="H19" s="2">
        <v>2.2000000000000002</v>
      </c>
      <c r="I19" s="2">
        <v>9.5</v>
      </c>
      <c r="J19" s="2">
        <v>5.0999999999999996</v>
      </c>
      <c r="K19" s="5" t="s">
        <v>13</v>
      </c>
    </row>
    <row r="20" spans="1:11" x14ac:dyDescent="0.25">
      <c r="A20" s="3">
        <v>19</v>
      </c>
      <c r="B20" s="1">
        <v>50</v>
      </c>
      <c r="C20" s="1" t="s">
        <v>11</v>
      </c>
      <c r="D20" s="1">
        <v>90</v>
      </c>
      <c r="E20" s="1">
        <v>177</v>
      </c>
      <c r="F20" s="1">
        <v>28.7</v>
      </c>
      <c r="G20" s="1">
        <v>2967</v>
      </c>
      <c r="H20" s="1">
        <v>3.7</v>
      </c>
      <c r="I20" s="1">
        <v>9.1</v>
      </c>
      <c r="J20" s="1">
        <v>6.8</v>
      </c>
      <c r="K20" s="5" t="s">
        <v>12</v>
      </c>
    </row>
    <row r="21" spans="1:11" x14ac:dyDescent="0.25">
      <c r="A21" s="4">
        <v>20</v>
      </c>
      <c r="B21" s="2">
        <v>38</v>
      </c>
      <c r="C21" s="2" t="s">
        <v>11</v>
      </c>
      <c r="D21" s="2">
        <v>85</v>
      </c>
      <c r="E21" s="2">
        <v>163</v>
      </c>
      <c r="F21" s="2">
        <v>32</v>
      </c>
      <c r="G21" s="2">
        <v>2413</v>
      </c>
      <c r="H21" s="2">
        <v>1.8</v>
      </c>
      <c r="I21" s="2">
        <v>0.9</v>
      </c>
      <c r="J21" s="2">
        <v>5.9</v>
      </c>
      <c r="K21" s="5" t="s">
        <v>14</v>
      </c>
    </row>
    <row r="22" spans="1:11" x14ac:dyDescent="0.25">
      <c r="A22" s="3">
        <v>21</v>
      </c>
      <c r="B22" s="1">
        <v>31</v>
      </c>
      <c r="C22" s="1" t="s">
        <v>11</v>
      </c>
      <c r="D22" s="1">
        <v>66</v>
      </c>
      <c r="E22" s="1">
        <v>164</v>
      </c>
      <c r="F22" s="1">
        <v>24.5</v>
      </c>
      <c r="G22" s="1">
        <v>2214</v>
      </c>
      <c r="H22" s="1">
        <v>3.9</v>
      </c>
      <c r="I22" s="1">
        <v>1</v>
      </c>
      <c r="J22" s="1">
        <v>6.1</v>
      </c>
      <c r="K22" s="5" t="s">
        <v>13</v>
      </c>
    </row>
    <row r="23" spans="1:11" x14ac:dyDescent="0.25">
      <c r="A23" s="4">
        <v>22</v>
      </c>
      <c r="B23" s="2">
        <v>26</v>
      </c>
      <c r="C23" s="2" t="s">
        <v>11</v>
      </c>
      <c r="D23" s="2">
        <v>66</v>
      </c>
      <c r="E23" s="2">
        <v>188</v>
      </c>
      <c r="F23" s="2">
        <v>18.7</v>
      </c>
      <c r="G23" s="2">
        <v>2761</v>
      </c>
      <c r="H23" s="2">
        <v>2.5</v>
      </c>
      <c r="I23" s="2">
        <v>5.9</v>
      </c>
      <c r="J23" s="2">
        <v>6.7</v>
      </c>
      <c r="K23" s="5" t="s">
        <v>13</v>
      </c>
    </row>
    <row r="24" spans="1:11" x14ac:dyDescent="0.25">
      <c r="A24" s="3">
        <v>23</v>
      </c>
      <c r="B24" s="1">
        <v>19</v>
      </c>
      <c r="C24" s="1" t="s">
        <v>11</v>
      </c>
      <c r="D24" s="1">
        <v>62</v>
      </c>
      <c r="E24" s="1">
        <v>185</v>
      </c>
      <c r="F24" s="1">
        <v>18.100000000000001</v>
      </c>
      <c r="G24" s="1">
        <v>2365</v>
      </c>
      <c r="H24" s="1">
        <v>3.4</v>
      </c>
      <c r="I24" s="1">
        <v>1.7</v>
      </c>
      <c r="J24" s="1">
        <v>6.9</v>
      </c>
      <c r="K24" s="5" t="s">
        <v>16</v>
      </c>
    </row>
    <row r="25" spans="1:11" x14ac:dyDescent="0.25">
      <c r="A25" s="4">
        <v>24</v>
      </c>
      <c r="B25" s="2">
        <v>60</v>
      </c>
      <c r="C25" s="2" t="s">
        <v>15</v>
      </c>
      <c r="D25" s="2">
        <v>84</v>
      </c>
      <c r="E25" s="2">
        <v>190</v>
      </c>
      <c r="F25" s="2">
        <v>23.3</v>
      </c>
      <c r="G25" s="2">
        <v>2720</v>
      </c>
      <c r="H25" s="2">
        <v>1.8</v>
      </c>
      <c r="I25" s="2">
        <v>4.2</v>
      </c>
      <c r="J25" s="2">
        <v>8.6</v>
      </c>
      <c r="K25" s="5" t="s">
        <v>13</v>
      </c>
    </row>
    <row r="26" spans="1:11" x14ac:dyDescent="0.25">
      <c r="A26" s="3">
        <v>25</v>
      </c>
      <c r="B26" s="1">
        <v>50</v>
      </c>
      <c r="C26" s="1" t="s">
        <v>15</v>
      </c>
      <c r="D26" s="1">
        <v>70</v>
      </c>
      <c r="E26" s="1">
        <v>155</v>
      </c>
      <c r="F26" s="1">
        <v>29.1</v>
      </c>
      <c r="G26" s="1">
        <v>2610</v>
      </c>
      <c r="H26" s="1">
        <v>2.9</v>
      </c>
      <c r="I26" s="1">
        <v>9.5</v>
      </c>
      <c r="J26" s="1">
        <v>8.1</v>
      </c>
      <c r="K26" s="5" t="s">
        <v>12</v>
      </c>
    </row>
    <row r="27" spans="1:11" x14ac:dyDescent="0.25">
      <c r="A27" s="4">
        <v>26</v>
      </c>
      <c r="B27" s="2">
        <v>26</v>
      </c>
      <c r="C27" s="2" t="s">
        <v>11</v>
      </c>
      <c r="D27" s="2">
        <v>82</v>
      </c>
      <c r="E27" s="2">
        <v>186</v>
      </c>
      <c r="F27" s="2">
        <v>23.7</v>
      </c>
      <c r="G27" s="2">
        <v>2123</v>
      </c>
      <c r="H27" s="2">
        <v>2.9</v>
      </c>
      <c r="I27" s="2">
        <v>4.7</v>
      </c>
      <c r="J27" s="2">
        <v>5.3</v>
      </c>
      <c r="K27" s="5" t="s">
        <v>13</v>
      </c>
    </row>
    <row r="28" spans="1:11" x14ac:dyDescent="0.25">
      <c r="A28" s="3">
        <v>27</v>
      </c>
      <c r="B28" s="1">
        <v>32</v>
      </c>
      <c r="C28" s="1" t="s">
        <v>15</v>
      </c>
      <c r="D28" s="1">
        <v>93</v>
      </c>
      <c r="E28" s="1">
        <v>155</v>
      </c>
      <c r="F28" s="1">
        <v>38.700000000000003</v>
      </c>
      <c r="G28" s="1">
        <v>2891</v>
      </c>
      <c r="H28" s="1">
        <v>4</v>
      </c>
      <c r="I28" s="1">
        <v>5.0999999999999996</v>
      </c>
      <c r="J28" s="1">
        <v>6.9</v>
      </c>
      <c r="K28" s="5" t="s">
        <v>14</v>
      </c>
    </row>
    <row r="29" spans="1:11" x14ac:dyDescent="0.25">
      <c r="A29" s="4">
        <v>28</v>
      </c>
      <c r="B29" s="2">
        <v>21</v>
      </c>
      <c r="C29" s="2" t="s">
        <v>15</v>
      </c>
      <c r="D29" s="2">
        <v>92</v>
      </c>
      <c r="E29" s="2">
        <v>186</v>
      </c>
      <c r="F29" s="2">
        <v>26.6</v>
      </c>
      <c r="G29" s="2">
        <v>2984</v>
      </c>
      <c r="H29" s="2">
        <v>3.7</v>
      </c>
      <c r="I29" s="2">
        <v>9.6999999999999993</v>
      </c>
      <c r="J29" s="2">
        <v>8</v>
      </c>
      <c r="K29" s="5" t="s">
        <v>12</v>
      </c>
    </row>
    <row r="30" spans="1:11" x14ac:dyDescent="0.25">
      <c r="A30" s="3">
        <v>29</v>
      </c>
      <c r="B30" s="1">
        <v>42</v>
      </c>
      <c r="C30" s="1" t="s">
        <v>15</v>
      </c>
      <c r="D30" s="1">
        <v>71</v>
      </c>
      <c r="E30" s="1">
        <v>172</v>
      </c>
      <c r="F30" s="1">
        <v>24</v>
      </c>
      <c r="G30" s="1">
        <v>1827</v>
      </c>
      <c r="H30" s="1">
        <v>2.2000000000000002</v>
      </c>
      <c r="I30" s="1">
        <v>7.8</v>
      </c>
      <c r="J30" s="1">
        <v>8.9</v>
      </c>
      <c r="K30" s="5" t="s">
        <v>13</v>
      </c>
    </row>
    <row r="31" spans="1:11" x14ac:dyDescent="0.25">
      <c r="A31" s="4">
        <v>30</v>
      </c>
      <c r="B31" s="2">
        <v>26</v>
      </c>
      <c r="C31" s="2" t="s">
        <v>11</v>
      </c>
      <c r="D31" s="2">
        <v>74</v>
      </c>
      <c r="E31" s="2">
        <v>171</v>
      </c>
      <c r="F31" s="2">
        <v>25.3</v>
      </c>
      <c r="G31" s="2">
        <v>2504</v>
      </c>
      <c r="H31" s="2">
        <v>3.6</v>
      </c>
      <c r="I31" s="2">
        <v>1.7</v>
      </c>
      <c r="J31" s="2">
        <v>8.9</v>
      </c>
      <c r="K31" s="5" t="s">
        <v>12</v>
      </c>
    </row>
    <row r="32" spans="1:11" x14ac:dyDescent="0.25">
      <c r="A32" s="3">
        <v>31</v>
      </c>
      <c r="B32" s="1">
        <v>39</v>
      </c>
      <c r="C32" s="1" t="s">
        <v>11</v>
      </c>
      <c r="D32" s="1">
        <v>86</v>
      </c>
      <c r="E32" s="1">
        <v>163</v>
      </c>
      <c r="F32" s="1">
        <v>32.4</v>
      </c>
      <c r="G32" s="1">
        <v>2413</v>
      </c>
      <c r="H32" s="1">
        <v>3.1</v>
      </c>
      <c r="I32" s="1">
        <v>6.3</v>
      </c>
      <c r="J32" s="1">
        <v>8.1999999999999993</v>
      </c>
      <c r="K32" s="5" t="s">
        <v>14</v>
      </c>
    </row>
    <row r="33" spans="1:11" x14ac:dyDescent="0.25">
      <c r="A33" s="4">
        <v>32</v>
      </c>
      <c r="B33" s="2">
        <v>48</v>
      </c>
      <c r="C33" s="2" t="s">
        <v>11</v>
      </c>
      <c r="D33" s="2">
        <v>79</v>
      </c>
      <c r="E33" s="2">
        <v>158</v>
      </c>
      <c r="F33" s="2">
        <v>31.6</v>
      </c>
      <c r="G33" s="2">
        <v>2111</v>
      </c>
      <c r="H33" s="2">
        <v>3.4</v>
      </c>
      <c r="I33" s="2">
        <v>8.8000000000000007</v>
      </c>
      <c r="J33" s="2">
        <v>6.2</v>
      </c>
      <c r="K33" s="5" t="s">
        <v>14</v>
      </c>
    </row>
    <row r="34" spans="1:11" x14ac:dyDescent="0.25">
      <c r="A34" s="3">
        <v>33</v>
      </c>
      <c r="B34" s="1">
        <v>50</v>
      </c>
      <c r="C34" s="1" t="s">
        <v>15</v>
      </c>
      <c r="D34" s="1">
        <v>100</v>
      </c>
      <c r="E34" s="1">
        <v>151</v>
      </c>
      <c r="F34" s="1">
        <v>43.9</v>
      </c>
      <c r="G34" s="1">
        <v>2197</v>
      </c>
      <c r="H34" s="1">
        <v>2.6</v>
      </c>
      <c r="I34" s="1">
        <v>2</v>
      </c>
      <c r="J34" s="1">
        <v>5.7</v>
      </c>
      <c r="K34" s="5" t="s">
        <v>14</v>
      </c>
    </row>
    <row r="35" spans="1:11" x14ac:dyDescent="0.25">
      <c r="A35" s="4">
        <v>34</v>
      </c>
      <c r="B35" s="2">
        <v>20</v>
      </c>
      <c r="C35" s="2" t="s">
        <v>15</v>
      </c>
      <c r="D35" s="2">
        <v>54</v>
      </c>
      <c r="E35" s="2">
        <v>167</v>
      </c>
      <c r="F35" s="2">
        <v>19.399999999999999</v>
      </c>
      <c r="G35" s="2">
        <v>2223</v>
      </c>
      <c r="H35" s="2">
        <v>2</v>
      </c>
      <c r="I35" s="2">
        <v>0.7</v>
      </c>
      <c r="J35" s="2">
        <v>6.2</v>
      </c>
      <c r="K35" s="5" t="s">
        <v>13</v>
      </c>
    </row>
    <row r="36" spans="1:11" x14ac:dyDescent="0.25">
      <c r="A36" s="3">
        <v>35</v>
      </c>
      <c r="B36" s="1">
        <v>27</v>
      </c>
      <c r="C36" s="1" t="s">
        <v>15</v>
      </c>
      <c r="D36" s="1">
        <v>58</v>
      </c>
      <c r="E36" s="1">
        <v>175</v>
      </c>
      <c r="F36" s="1">
        <v>18.899999999999999</v>
      </c>
      <c r="G36" s="1">
        <v>2855</v>
      </c>
      <c r="H36" s="1">
        <v>2.9</v>
      </c>
      <c r="I36" s="1">
        <v>1.2</v>
      </c>
      <c r="J36" s="1">
        <v>5.6</v>
      </c>
      <c r="K36" s="5" t="s">
        <v>13</v>
      </c>
    </row>
    <row r="37" spans="1:11" x14ac:dyDescent="0.25">
      <c r="A37" s="4">
        <v>36</v>
      </c>
      <c r="B37" s="2">
        <v>51</v>
      </c>
      <c r="C37" s="2" t="s">
        <v>11</v>
      </c>
      <c r="D37" s="2">
        <v>59</v>
      </c>
      <c r="E37" s="2">
        <v>175</v>
      </c>
      <c r="F37" s="2">
        <v>19.3</v>
      </c>
      <c r="G37" s="2">
        <v>2792</v>
      </c>
      <c r="H37" s="2">
        <v>3.1</v>
      </c>
      <c r="I37" s="2">
        <v>3.8</v>
      </c>
      <c r="J37" s="2">
        <v>6</v>
      </c>
      <c r="K37" s="5" t="s">
        <v>13</v>
      </c>
    </row>
    <row r="38" spans="1:11" x14ac:dyDescent="0.25">
      <c r="A38" s="3">
        <v>37</v>
      </c>
      <c r="B38" s="1">
        <v>53</v>
      </c>
      <c r="C38" s="1" t="s">
        <v>11</v>
      </c>
      <c r="D38" s="1">
        <v>82</v>
      </c>
      <c r="E38" s="1">
        <v>188</v>
      </c>
      <c r="F38" s="1">
        <v>23.2</v>
      </c>
      <c r="G38" s="1">
        <v>1936</v>
      </c>
      <c r="H38" s="1">
        <v>2.8</v>
      </c>
      <c r="I38" s="1">
        <v>9.8000000000000007</v>
      </c>
      <c r="J38" s="1">
        <v>6.7</v>
      </c>
      <c r="K38" s="5" t="s">
        <v>13</v>
      </c>
    </row>
    <row r="39" spans="1:11" x14ac:dyDescent="0.25">
      <c r="A39" s="4">
        <v>38</v>
      </c>
      <c r="B39" s="2">
        <v>44</v>
      </c>
      <c r="C39" s="2" t="s">
        <v>11</v>
      </c>
      <c r="D39" s="2">
        <v>58</v>
      </c>
      <c r="E39" s="2">
        <v>189</v>
      </c>
      <c r="F39" s="2">
        <v>16.2</v>
      </c>
      <c r="G39" s="2">
        <v>2095</v>
      </c>
      <c r="H39" s="2">
        <v>2.2000000000000002</v>
      </c>
      <c r="I39" s="2">
        <v>9.1</v>
      </c>
      <c r="J39" s="2">
        <v>6.8</v>
      </c>
      <c r="K39" s="5" t="s">
        <v>16</v>
      </c>
    </row>
    <row r="40" spans="1:11" x14ac:dyDescent="0.25">
      <c r="A40" s="3">
        <v>39</v>
      </c>
      <c r="B40" s="1">
        <v>48</v>
      </c>
      <c r="C40" s="1" t="s">
        <v>11</v>
      </c>
      <c r="D40" s="1">
        <v>98</v>
      </c>
      <c r="E40" s="1">
        <v>158</v>
      </c>
      <c r="F40" s="1">
        <v>39.299999999999997</v>
      </c>
      <c r="G40" s="1">
        <v>2825</v>
      </c>
      <c r="H40" s="1">
        <v>3.4</v>
      </c>
      <c r="I40" s="1">
        <v>1.4</v>
      </c>
      <c r="J40" s="1">
        <v>6.6</v>
      </c>
      <c r="K40" s="5" t="s">
        <v>14</v>
      </c>
    </row>
    <row r="41" spans="1:11" x14ac:dyDescent="0.25">
      <c r="A41" s="4">
        <v>40</v>
      </c>
      <c r="B41" s="2">
        <v>31</v>
      </c>
      <c r="C41" s="2" t="s">
        <v>15</v>
      </c>
      <c r="D41" s="2">
        <v>60</v>
      </c>
      <c r="E41" s="2">
        <v>166</v>
      </c>
      <c r="F41" s="2">
        <v>21.8</v>
      </c>
      <c r="G41" s="2">
        <v>2599</v>
      </c>
      <c r="H41" s="2">
        <v>3.2</v>
      </c>
      <c r="I41" s="2">
        <v>2.9</v>
      </c>
      <c r="J41" s="2">
        <v>5</v>
      </c>
      <c r="K41" s="5" t="s">
        <v>13</v>
      </c>
    </row>
    <row r="42" spans="1:11" x14ac:dyDescent="0.25">
      <c r="A42" s="3">
        <v>41</v>
      </c>
      <c r="B42" s="1">
        <v>53</v>
      </c>
      <c r="C42" s="1" t="s">
        <v>15</v>
      </c>
      <c r="D42" s="1">
        <v>61</v>
      </c>
      <c r="E42" s="1">
        <v>156</v>
      </c>
      <c r="F42" s="1">
        <v>25.1</v>
      </c>
      <c r="G42" s="1">
        <v>2228</v>
      </c>
      <c r="H42" s="1">
        <v>3.8</v>
      </c>
      <c r="I42" s="1">
        <v>2.1</v>
      </c>
      <c r="J42" s="1">
        <v>7.3</v>
      </c>
      <c r="K42" s="5" t="s">
        <v>12</v>
      </c>
    </row>
    <row r="43" spans="1:11" x14ac:dyDescent="0.25">
      <c r="A43" s="4">
        <v>42</v>
      </c>
      <c r="B43" s="2">
        <v>19</v>
      </c>
      <c r="C43" s="2" t="s">
        <v>15</v>
      </c>
      <c r="D43" s="2">
        <v>85</v>
      </c>
      <c r="E43" s="2">
        <v>160</v>
      </c>
      <c r="F43" s="2">
        <v>33.200000000000003</v>
      </c>
      <c r="G43" s="2">
        <v>2994</v>
      </c>
      <c r="H43" s="2">
        <v>1.8</v>
      </c>
      <c r="I43" s="2">
        <v>7.5</v>
      </c>
      <c r="J43" s="2">
        <v>7.2</v>
      </c>
      <c r="K43" s="5" t="s">
        <v>14</v>
      </c>
    </row>
    <row r="44" spans="1:11" x14ac:dyDescent="0.25">
      <c r="A44" s="3">
        <v>43</v>
      </c>
      <c r="B44" s="1">
        <v>47</v>
      </c>
      <c r="C44" s="1" t="s">
        <v>15</v>
      </c>
      <c r="D44" s="1">
        <v>80</v>
      </c>
      <c r="E44" s="1">
        <v>150</v>
      </c>
      <c r="F44" s="1">
        <v>35.6</v>
      </c>
      <c r="G44" s="1">
        <v>2917</v>
      </c>
      <c r="H44" s="1">
        <v>3</v>
      </c>
      <c r="I44" s="1">
        <v>6.4</v>
      </c>
      <c r="J44" s="1">
        <v>7.2</v>
      </c>
      <c r="K44" s="5" t="s">
        <v>14</v>
      </c>
    </row>
    <row r="45" spans="1:11" x14ac:dyDescent="0.25">
      <c r="A45" s="4">
        <v>44</v>
      </c>
      <c r="B45" s="2">
        <v>21</v>
      </c>
      <c r="C45" s="2" t="s">
        <v>11</v>
      </c>
      <c r="D45" s="2">
        <v>53</v>
      </c>
      <c r="E45" s="2">
        <v>163</v>
      </c>
      <c r="F45" s="2">
        <v>19.899999999999999</v>
      </c>
      <c r="G45" s="2">
        <v>1811</v>
      </c>
      <c r="H45" s="2">
        <v>3.1</v>
      </c>
      <c r="I45" s="2">
        <v>4.3</v>
      </c>
      <c r="J45" s="2">
        <v>6.9</v>
      </c>
      <c r="K45" s="5" t="s">
        <v>13</v>
      </c>
    </row>
    <row r="46" spans="1:11" x14ac:dyDescent="0.25">
      <c r="A46" s="3">
        <v>45</v>
      </c>
      <c r="B46" s="1">
        <v>57</v>
      </c>
      <c r="C46" s="1" t="s">
        <v>15</v>
      </c>
      <c r="D46" s="1">
        <v>84</v>
      </c>
      <c r="E46" s="1">
        <v>154</v>
      </c>
      <c r="F46" s="1">
        <v>35.4</v>
      </c>
      <c r="G46" s="1">
        <v>2914</v>
      </c>
      <c r="H46" s="1">
        <v>3.3</v>
      </c>
      <c r="I46" s="1">
        <v>3.3</v>
      </c>
      <c r="J46" s="1">
        <v>6.8</v>
      </c>
      <c r="K46" s="5" t="s">
        <v>14</v>
      </c>
    </row>
    <row r="47" spans="1:11" x14ac:dyDescent="0.25">
      <c r="A47" s="4">
        <v>46</v>
      </c>
      <c r="B47" s="2">
        <v>19</v>
      </c>
      <c r="C47" s="2" t="s">
        <v>11</v>
      </c>
      <c r="D47" s="2">
        <v>51</v>
      </c>
      <c r="E47" s="2">
        <v>160</v>
      </c>
      <c r="F47" s="2">
        <v>19.899999999999999</v>
      </c>
      <c r="G47" s="2">
        <v>2289</v>
      </c>
      <c r="H47" s="2">
        <v>1.6</v>
      </c>
      <c r="I47" s="2">
        <v>6.7</v>
      </c>
      <c r="J47" s="2">
        <v>6</v>
      </c>
      <c r="K47" s="5" t="s">
        <v>13</v>
      </c>
    </row>
    <row r="48" spans="1:11" x14ac:dyDescent="0.25">
      <c r="A48" s="3">
        <v>47</v>
      </c>
      <c r="B48" s="1">
        <v>49</v>
      </c>
      <c r="C48" s="1" t="s">
        <v>15</v>
      </c>
      <c r="D48" s="1">
        <v>50</v>
      </c>
      <c r="E48" s="1">
        <v>168</v>
      </c>
      <c r="F48" s="1">
        <v>17.7</v>
      </c>
      <c r="G48" s="1">
        <v>1811</v>
      </c>
      <c r="H48" s="1">
        <v>1.8</v>
      </c>
      <c r="I48" s="1">
        <v>5.3</v>
      </c>
      <c r="J48" s="1">
        <v>6.3</v>
      </c>
      <c r="K48" s="5" t="s">
        <v>16</v>
      </c>
    </row>
    <row r="49" spans="1:11" x14ac:dyDescent="0.25">
      <c r="A49" s="4">
        <v>48</v>
      </c>
      <c r="B49" s="2">
        <v>51</v>
      </c>
      <c r="C49" s="2" t="s">
        <v>11</v>
      </c>
      <c r="D49" s="2">
        <v>83</v>
      </c>
      <c r="E49" s="2">
        <v>153</v>
      </c>
      <c r="F49" s="2">
        <v>35.5</v>
      </c>
      <c r="G49" s="2">
        <v>2561</v>
      </c>
      <c r="H49" s="2">
        <v>1.9</v>
      </c>
      <c r="I49" s="2">
        <v>1.8</v>
      </c>
      <c r="J49" s="2">
        <v>8.5</v>
      </c>
      <c r="K49" s="5" t="s">
        <v>14</v>
      </c>
    </row>
    <row r="50" spans="1:11" x14ac:dyDescent="0.25">
      <c r="A50" s="3">
        <v>49</v>
      </c>
      <c r="B50" s="1">
        <v>55</v>
      </c>
      <c r="C50" s="1" t="s">
        <v>11</v>
      </c>
      <c r="D50" s="1">
        <v>84</v>
      </c>
      <c r="E50" s="1">
        <v>170</v>
      </c>
      <c r="F50" s="1">
        <v>29.1</v>
      </c>
      <c r="G50" s="1">
        <v>1983</v>
      </c>
      <c r="H50" s="1">
        <v>2.6</v>
      </c>
      <c r="I50" s="1">
        <v>9.6</v>
      </c>
      <c r="J50" s="1">
        <v>5.6</v>
      </c>
      <c r="K50" s="5" t="s">
        <v>12</v>
      </c>
    </row>
    <row r="51" spans="1:11" x14ac:dyDescent="0.25">
      <c r="A51" s="4">
        <v>50</v>
      </c>
      <c r="B51" s="2">
        <v>20</v>
      </c>
      <c r="C51" s="2" t="s">
        <v>11</v>
      </c>
      <c r="D51" s="2">
        <v>63</v>
      </c>
      <c r="E51" s="2">
        <v>165</v>
      </c>
      <c r="F51" s="2">
        <v>23.1</v>
      </c>
      <c r="G51" s="2">
        <v>2859</v>
      </c>
      <c r="H51" s="2">
        <v>2.6</v>
      </c>
      <c r="I51" s="2">
        <v>9.8000000000000007</v>
      </c>
      <c r="J51" s="2">
        <v>8</v>
      </c>
      <c r="K51" s="5" t="s">
        <v>13</v>
      </c>
    </row>
    <row r="52" spans="1:11" x14ac:dyDescent="0.25">
      <c r="A52" s="3">
        <v>51</v>
      </c>
      <c r="B52" s="1">
        <v>28</v>
      </c>
      <c r="C52" s="1" t="s">
        <v>15</v>
      </c>
      <c r="D52" s="1">
        <v>88</v>
      </c>
      <c r="E52" s="1">
        <v>160</v>
      </c>
      <c r="F52" s="1">
        <v>34.4</v>
      </c>
      <c r="G52" s="1">
        <v>2597</v>
      </c>
      <c r="H52" s="1">
        <v>3.4</v>
      </c>
      <c r="I52" s="1">
        <v>3</v>
      </c>
      <c r="J52" s="1">
        <v>5.5</v>
      </c>
      <c r="K52" s="5" t="s">
        <v>14</v>
      </c>
    </row>
    <row r="53" spans="1:11" x14ac:dyDescent="0.25">
      <c r="A53" s="4">
        <v>52</v>
      </c>
      <c r="B53" s="2">
        <v>37</v>
      </c>
      <c r="C53" s="2" t="s">
        <v>15</v>
      </c>
      <c r="D53" s="2">
        <v>63</v>
      </c>
      <c r="E53" s="2">
        <v>150</v>
      </c>
      <c r="F53" s="2">
        <v>28</v>
      </c>
      <c r="G53" s="2">
        <v>2636</v>
      </c>
      <c r="H53" s="2">
        <v>2.7</v>
      </c>
      <c r="I53" s="2">
        <v>4.4000000000000004</v>
      </c>
      <c r="J53" s="2">
        <v>8.1999999999999993</v>
      </c>
      <c r="K53" s="5" t="s">
        <v>12</v>
      </c>
    </row>
    <row r="54" spans="1:11" x14ac:dyDescent="0.25">
      <c r="A54" s="3">
        <v>53</v>
      </c>
      <c r="B54" s="1">
        <v>52</v>
      </c>
      <c r="C54" s="1" t="s">
        <v>15</v>
      </c>
      <c r="D54" s="1">
        <v>62</v>
      </c>
      <c r="E54" s="1">
        <v>165</v>
      </c>
      <c r="F54" s="1">
        <v>22.8</v>
      </c>
      <c r="G54" s="1">
        <v>1973</v>
      </c>
      <c r="H54" s="1">
        <v>2.6</v>
      </c>
      <c r="I54" s="1">
        <v>2.8</v>
      </c>
      <c r="J54" s="1">
        <v>6.8</v>
      </c>
      <c r="K54" s="5" t="s">
        <v>13</v>
      </c>
    </row>
    <row r="55" spans="1:11" x14ac:dyDescent="0.25">
      <c r="A55" s="4">
        <v>54</v>
      </c>
      <c r="B55" s="2">
        <v>18</v>
      </c>
      <c r="C55" s="2" t="s">
        <v>15</v>
      </c>
      <c r="D55" s="2">
        <v>92</v>
      </c>
      <c r="E55" s="2">
        <v>154</v>
      </c>
      <c r="F55" s="2">
        <v>38.799999999999997</v>
      </c>
      <c r="G55" s="2">
        <v>2168</v>
      </c>
      <c r="H55" s="2">
        <v>2.8</v>
      </c>
      <c r="I55" s="2">
        <v>8.1999999999999993</v>
      </c>
      <c r="J55" s="2">
        <v>8.9</v>
      </c>
      <c r="K55" s="5" t="s">
        <v>14</v>
      </c>
    </row>
    <row r="56" spans="1:11" x14ac:dyDescent="0.25">
      <c r="A56" s="3">
        <v>55</v>
      </c>
      <c r="B56" s="1">
        <v>37</v>
      </c>
      <c r="C56" s="1" t="s">
        <v>15</v>
      </c>
      <c r="D56" s="1">
        <v>55</v>
      </c>
      <c r="E56" s="1">
        <v>182</v>
      </c>
      <c r="F56" s="1">
        <v>16.600000000000001</v>
      </c>
      <c r="G56" s="1">
        <v>2143</v>
      </c>
      <c r="H56" s="1">
        <v>2.6</v>
      </c>
      <c r="I56" s="1">
        <v>5.9</v>
      </c>
      <c r="J56" s="1">
        <v>5.2</v>
      </c>
      <c r="K56" s="5" t="s">
        <v>16</v>
      </c>
    </row>
    <row r="57" spans="1:11" x14ac:dyDescent="0.25">
      <c r="A57" s="4">
        <v>56</v>
      </c>
      <c r="B57" s="2">
        <v>27</v>
      </c>
      <c r="C57" s="2" t="s">
        <v>15</v>
      </c>
      <c r="D57" s="2">
        <v>59</v>
      </c>
      <c r="E57" s="2">
        <v>151</v>
      </c>
      <c r="F57" s="2">
        <v>25.9</v>
      </c>
      <c r="G57" s="2">
        <v>2351</v>
      </c>
      <c r="H57" s="2">
        <v>3.3</v>
      </c>
      <c r="I57" s="2">
        <v>8.4</v>
      </c>
      <c r="J57" s="2">
        <v>5.2</v>
      </c>
      <c r="K57" s="5" t="s">
        <v>12</v>
      </c>
    </row>
    <row r="58" spans="1:11" x14ac:dyDescent="0.25">
      <c r="A58" s="3">
        <v>57</v>
      </c>
      <c r="B58" s="1">
        <v>51</v>
      </c>
      <c r="C58" s="1" t="s">
        <v>15</v>
      </c>
      <c r="D58" s="1">
        <v>57</v>
      </c>
      <c r="E58" s="1">
        <v>189</v>
      </c>
      <c r="F58" s="1">
        <v>16</v>
      </c>
      <c r="G58" s="1">
        <v>2848</v>
      </c>
      <c r="H58" s="1">
        <v>2.2999999999999998</v>
      </c>
      <c r="I58" s="1">
        <v>0.6</v>
      </c>
      <c r="J58" s="1">
        <v>7.2</v>
      </c>
      <c r="K58" s="5" t="s">
        <v>16</v>
      </c>
    </row>
    <row r="59" spans="1:11" x14ac:dyDescent="0.25">
      <c r="A59" s="4">
        <v>58</v>
      </c>
      <c r="B59" s="2">
        <v>59</v>
      </c>
      <c r="C59" s="2" t="s">
        <v>15</v>
      </c>
      <c r="D59" s="2">
        <v>61</v>
      </c>
      <c r="E59" s="2">
        <v>179</v>
      </c>
      <c r="F59" s="2">
        <v>19</v>
      </c>
      <c r="G59" s="2">
        <v>2290</v>
      </c>
      <c r="H59" s="2">
        <v>2.6</v>
      </c>
      <c r="I59" s="2">
        <v>3.8</v>
      </c>
      <c r="J59" s="2">
        <v>8.1999999999999993</v>
      </c>
      <c r="K59" s="5" t="s">
        <v>13</v>
      </c>
    </row>
    <row r="60" spans="1:11" x14ac:dyDescent="0.25">
      <c r="A60" s="3">
        <v>59</v>
      </c>
      <c r="B60" s="1">
        <v>38</v>
      </c>
      <c r="C60" s="1" t="s">
        <v>15</v>
      </c>
      <c r="D60" s="1">
        <v>54</v>
      </c>
      <c r="E60" s="1">
        <v>185</v>
      </c>
      <c r="F60" s="1">
        <v>15.8</v>
      </c>
      <c r="G60" s="1">
        <v>2187</v>
      </c>
      <c r="H60" s="1">
        <v>4</v>
      </c>
      <c r="I60" s="1">
        <v>1.7</v>
      </c>
      <c r="J60" s="1">
        <v>6.5</v>
      </c>
      <c r="K60" s="5" t="s">
        <v>16</v>
      </c>
    </row>
    <row r="61" spans="1:11" x14ac:dyDescent="0.25">
      <c r="A61" s="4">
        <v>60</v>
      </c>
      <c r="B61" s="2">
        <v>54</v>
      </c>
      <c r="C61" s="2" t="s">
        <v>11</v>
      </c>
      <c r="D61" s="2">
        <v>94</v>
      </c>
      <c r="E61" s="2">
        <v>173</v>
      </c>
      <c r="F61" s="2">
        <v>31.4</v>
      </c>
      <c r="G61" s="2">
        <v>2709</v>
      </c>
      <c r="H61" s="2">
        <v>3.1</v>
      </c>
      <c r="I61" s="2">
        <v>10</v>
      </c>
      <c r="J61" s="2">
        <v>5.3</v>
      </c>
      <c r="K61" s="5" t="s">
        <v>14</v>
      </c>
    </row>
    <row r="62" spans="1:11" x14ac:dyDescent="0.25">
      <c r="A62" s="3">
        <v>61</v>
      </c>
      <c r="B62" s="1">
        <v>24</v>
      </c>
      <c r="C62" s="1" t="s">
        <v>15</v>
      </c>
      <c r="D62" s="1">
        <v>53</v>
      </c>
      <c r="E62" s="1">
        <v>170</v>
      </c>
      <c r="F62" s="1">
        <v>18.3</v>
      </c>
      <c r="G62" s="1">
        <v>2483</v>
      </c>
      <c r="H62" s="1">
        <v>1.7</v>
      </c>
      <c r="I62" s="1">
        <v>5.7</v>
      </c>
      <c r="J62" s="1">
        <v>5.0999999999999996</v>
      </c>
      <c r="K62" s="5" t="s">
        <v>16</v>
      </c>
    </row>
    <row r="63" spans="1:11" x14ac:dyDescent="0.25">
      <c r="A63" s="4">
        <v>62</v>
      </c>
      <c r="B63" s="2">
        <v>42</v>
      </c>
      <c r="C63" s="2" t="s">
        <v>15</v>
      </c>
      <c r="D63" s="2">
        <v>83</v>
      </c>
      <c r="E63" s="2">
        <v>163</v>
      </c>
      <c r="F63" s="2">
        <v>31.2</v>
      </c>
      <c r="G63" s="2">
        <v>2922</v>
      </c>
      <c r="H63" s="2">
        <v>3.4</v>
      </c>
      <c r="I63" s="2">
        <v>8.8000000000000007</v>
      </c>
      <c r="J63" s="2">
        <v>8.9</v>
      </c>
      <c r="K63" s="5" t="s">
        <v>14</v>
      </c>
    </row>
    <row r="64" spans="1:11" x14ac:dyDescent="0.25">
      <c r="A64" s="3">
        <v>63</v>
      </c>
      <c r="B64" s="1">
        <v>34</v>
      </c>
      <c r="C64" s="1" t="s">
        <v>11</v>
      </c>
      <c r="D64" s="1">
        <v>50</v>
      </c>
      <c r="E64" s="1">
        <v>167</v>
      </c>
      <c r="F64" s="1">
        <v>17.899999999999999</v>
      </c>
      <c r="G64" s="1">
        <v>2780</v>
      </c>
      <c r="H64" s="1">
        <v>3.6</v>
      </c>
      <c r="I64" s="1">
        <v>0.4</v>
      </c>
      <c r="J64" s="1">
        <v>6.1</v>
      </c>
      <c r="K64" s="5" t="s">
        <v>16</v>
      </c>
    </row>
    <row r="65" spans="1:11" x14ac:dyDescent="0.25">
      <c r="A65" s="4">
        <v>64</v>
      </c>
      <c r="B65" s="2">
        <v>53</v>
      </c>
      <c r="C65" s="2" t="s">
        <v>15</v>
      </c>
      <c r="D65" s="2">
        <v>74</v>
      </c>
      <c r="E65" s="2">
        <v>164</v>
      </c>
      <c r="F65" s="2">
        <v>27.5</v>
      </c>
      <c r="G65" s="2">
        <v>2508</v>
      </c>
      <c r="H65" s="2">
        <v>1.8</v>
      </c>
      <c r="I65" s="2">
        <v>7.9</v>
      </c>
      <c r="J65" s="2">
        <v>5.4</v>
      </c>
      <c r="K65" s="5" t="s">
        <v>12</v>
      </c>
    </row>
    <row r="66" spans="1:11" x14ac:dyDescent="0.25">
      <c r="A66" s="3">
        <v>65</v>
      </c>
      <c r="B66" s="1">
        <v>26</v>
      </c>
      <c r="C66" s="1" t="s">
        <v>11</v>
      </c>
      <c r="D66" s="1">
        <v>66</v>
      </c>
      <c r="E66" s="1">
        <v>184</v>
      </c>
      <c r="F66" s="1">
        <v>19.5</v>
      </c>
      <c r="G66" s="1">
        <v>2152</v>
      </c>
      <c r="H66" s="1">
        <v>1.8</v>
      </c>
      <c r="I66" s="1">
        <v>8.8000000000000007</v>
      </c>
      <c r="J66" s="1">
        <v>6.8</v>
      </c>
      <c r="K66" s="5" t="s">
        <v>13</v>
      </c>
    </row>
    <row r="67" spans="1:11" x14ac:dyDescent="0.25">
      <c r="A67" s="4">
        <v>66</v>
      </c>
      <c r="B67" s="2">
        <v>49</v>
      </c>
      <c r="C67" s="2" t="s">
        <v>15</v>
      </c>
      <c r="D67" s="2">
        <v>93</v>
      </c>
      <c r="E67" s="2">
        <v>171</v>
      </c>
      <c r="F67" s="2">
        <v>31.8</v>
      </c>
      <c r="G67" s="2">
        <v>2813</v>
      </c>
      <c r="H67" s="2">
        <v>2.9</v>
      </c>
      <c r="I67" s="2">
        <v>4.8</v>
      </c>
      <c r="J67" s="2">
        <v>7</v>
      </c>
      <c r="K67" s="5" t="s">
        <v>14</v>
      </c>
    </row>
    <row r="68" spans="1:11" x14ac:dyDescent="0.25">
      <c r="A68" s="3">
        <v>67</v>
      </c>
      <c r="B68" s="1">
        <v>19</v>
      </c>
      <c r="C68" s="1" t="s">
        <v>11</v>
      </c>
      <c r="D68" s="1">
        <v>70</v>
      </c>
      <c r="E68" s="1">
        <v>187</v>
      </c>
      <c r="F68" s="1">
        <v>20</v>
      </c>
      <c r="G68" s="1">
        <v>2605</v>
      </c>
      <c r="H68" s="1">
        <v>1.7</v>
      </c>
      <c r="I68" s="1">
        <v>8.1999999999999993</v>
      </c>
      <c r="J68" s="1">
        <v>5.2</v>
      </c>
      <c r="K68" s="5" t="s">
        <v>13</v>
      </c>
    </row>
    <row r="69" spans="1:11" x14ac:dyDescent="0.25">
      <c r="A69" s="4">
        <v>68</v>
      </c>
      <c r="B69" s="2">
        <v>28</v>
      </c>
      <c r="C69" s="2" t="s">
        <v>15</v>
      </c>
      <c r="D69" s="2">
        <v>53</v>
      </c>
      <c r="E69" s="2">
        <v>186</v>
      </c>
      <c r="F69" s="2">
        <v>15.3</v>
      </c>
      <c r="G69" s="2">
        <v>1857</v>
      </c>
      <c r="H69" s="2">
        <v>2</v>
      </c>
      <c r="I69" s="2">
        <v>2.4</v>
      </c>
      <c r="J69" s="2">
        <v>5.4</v>
      </c>
      <c r="K69" s="5" t="s">
        <v>16</v>
      </c>
    </row>
    <row r="70" spans="1:11" x14ac:dyDescent="0.25">
      <c r="A70" s="3">
        <v>69</v>
      </c>
      <c r="B70" s="1">
        <v>31</v>
      </c>
      <c r="C70" s="1" t="s">
        <v>15</v>
      </c>
      <c r="D70" s="1">
        <v>84</v>
      </c>
      <c r="E70" s="1">
        <v>188</v>
      </c>
      <c r="F70" s="1">
        <v>23.8</v>
      </c>
      <c r="G70" s="1">
        <v>1899</v>
      </c>
      <c r="H70" s="1">
        <v>3.1</v>
      </c>
      <c r="I70" s="1">
        <v>0.8</v>
      </c>
      <c r="J70" s="1">
        <v>6.9</v>
      </c>
      <c r="K70" s="5" t="s">
        <v>13</v>
      </c>
    </row>
    <row r="71" spans="1:11" x14ac:dyDescent="0.25">
      <c r="A71" s="4">
        <v>70</v>
      </c>
      <c r="B71" s="2">
        <v>35</v>
      </c>
      <c r="C71" s="2" t="s">
        <v>11</v>
      </c>
      <c r="D71" s="2">
        <v>77</v>
      </c>
      <c r="E71" s="2">
        <v>153</v>
      </c>
      <c r="F71" s="2">
        <v>32.9</v>
      </c>
      <c r="G71" s="2">
        <v>2152</v>
      </c>
      <c r="H71" s="2">
        <v>2.2000000000000002</v>
      </c>
      <c r="I71" s="2">
        <v>2.2000000000000002</v>
      </c>
      <c r="J71" s="2">
        <v>6.3</v>
      </c>
      <c r="K71" s="5" t="s">
        <v>14</v>
      </c>
    </row>
    <row r="72" spans="1:11" x14ac:dyDescent="0.25">
      <c r="A72" s="3">
        <v>71</v>
      </c>
      <c r="B72" s="1">
        <v>40</v>
      </c>
      <c r="C72" s="1" t="s">
        <v>11</v>
      </c>
      <c r="D72" s="1">
        <v>62</v>
      </c>
      <c r="E72" s="1">
        <v>162</v>
      </c>
      <c r="F72" s="1">
        <v>23.6</v>
      </c>
      <c r="G72" s="1">
        <v>2475</v>
      </c>
      <c r="H72" s="1">
        <v>2.7</v>
      </c>
      <c r="I72" s="1">
        <v>1.8</v>
      </c>
      <c r="J72" s="1">
        <v>7.9</v>
      </c>
      <c r="K72" s="5" t="s">
        <v>13</v>
      </c>
    </row>
    <row r="73" spans="1:11" x14ac:dyDescent="0.25">
      <c r="A73" s="4">
        <v>72</v>
      </c>
      <c r="B73" s="2">
        <v>50</v>
      </c>
      <c r="C73" s="2" t="s">
        <v>15</v>
      </c>
      <c r="D73" s="2">
        <v>89</v>
      </c>
      <c r="E73" s="2">
        <v>180</v>
      </c>
      <c r="F73" s="2">
        <v>27.5</v>
      </c>
      <c r="G73" s="2">
        <v>2276</v>
      </c>
      <c r="H73" s="2">
        <v>2.4</v>
      </c>
      <c r="I73" s="2">
        <v>6.5</v>
      </c>
      <c r="J73" s="2">
        <v>7.3</v>
      </c>
      <c r="K73" s="5" t="s">
        <v>12</v>
      </c>
    </row>
    <row r="74" spans="1:11" x14ac:dyDescent="0.25">
      <c r="A74" s="3">
        <v>73</v>
      </c>
      <c r="B74" s="1">
        <v>59</v>
      </c>
      <c r="C74" s="1" t="s">
        <v>11</v>
      </c>
      <c r="D74" s="1">
        <v>92</v>
      </c>
      <c r="E74" s="1">
        <v>161</v>
      </c>
      <c r="F74" s="1">
        <v>35.5</v>
      </c>
      <c r="G74" s="1">
        <v>2674</v>
      </c>
      <c r="H74" s="1">
        <v>1.7</v>
      </c>
      <c r="I74" s="1">
        <v>6.1</v>
      </c>
      <c r="J74" s="1">
        <v>8.1999999999999993</v>
      </c>
      <c r="K74" s="5" t="s">
        <v>14</v>
      </c>
    </row>
    <row r="75" spans="1:11" x14ac:dyDescent="0.25">
      <c r="A75" s="4">
        <v>74</v>
      </c>
      <c r="B75" s="2">
        <v>28</v>
      </c>
      <c r="C75" s="2" t="s">
        <v>15</v>
      </c>
      <c r="D75" s="2">
        <v>99</v>
      </c>
      <c r="E75" s="2">
        <v>157</v>
      </c>
      <c r="F75" s="2">
        <v>40.200000000000003</v>
      </c>
      <c r="G75" s="2">
        <v>2566</v>
      </c>
      <c r="H75" s="2">
        <v>2.8</v>
      </c>
      <c r="I75" s="2">
        <v>4.4000000000000004</v>
      </c>
      <c r="J75" s="2">
        <v>5.2</v>
      </c>
      <c r="K75" s="5" t="s">
        <v>14</v>
      </c>
    </row>
    <row r="76" spans="1:11" x14ac:dyDescent="0.25">
      <c r="A76" s="3">
        <v>75</v>
      </c>
      <c r="B76" s="1">
        <v>26</v>
      </c>
      <c r="C76" s="1" t="s">
        <v>15</v>
      </c>
      <c r="D76" s="1">
        <v>50</v>
      </c>
      <c r="E76" s="1">
        <v>172</v>
      </c>
      <c r="F76" s="1">
        <v>16.899999999999999</v>
      </c>
      <c r="G76" s="1">
        <v>2789</v>
      </c>
      <c r="H76" s="1">
        <v>2.7</v>
      </c>
      <c r="I76" s="1">
        <v>6.9</v>
      </c>
      <c r="J76" s="1">
        <v>6.7</v>
      </c>
      <c r="K76" s="5" t="s">
        <v>16</v>
      </c>
    </row>
    <row r="77" spans="1:11" x14ac:dyDescent="0.25">
      <c r="A77" s="4">
        <v>76</v>
      </c>
      <c r="B77" s="2">
        <v>57</v>
      </c>
      <c r="C77" s="2" t="s">
        <v>15</v>
      </c>
      <c r="D77" s="2">
        <v>73</v>
      </c>
      <c r="E77" s="2">
        <v>156</v>
      </c>
      <c r="F77" s="2">
        <v>30</v>
      </c>
      <c r="G77" s="2">
        <v>1983</v>
      </c>
      <c r="H77" s="2">
        <v>2.6</v>
      </c>
      <c r="I77" s="2">
        <v>2.9</v>
      </c>
      <c r="J77" s="2">
        <v>7.2</v>
      </c>
      <c r="K77" s="5" t="s">
        <v>14</v>
      </c>
    </row>
    <row r="78" spans="1:11" x14ac:dyDescent="0.25">
      <c r="A78" s="3">
        <v>77</v>
      </c>
      <c r="B78" s="1">
        <v>47</v>
      </c>
      <c r="C78" s="1" t="s">
        <v>15</v>
      </c>
      <c r="D78" s="1">
        <v>58</v>
      </c>
      <c r="E78" s="1">
        <v>178</v>
      </c>
      <c r="F78" s="1">
        <v>18.3</v>
      </c>
      <c r="G78" s="1">
        <v>2044</v>
      </c>
      <c r="H78" s="1">
        <v>3.8</v>
      </c>
      <c r="I78" s="1">
        <v>9.9</v>
      </c>
      <c r="J78" s="1">
        <v>5.9</v>
      </c>
      <c r="K78" s="5" t="s">
        <v>16</v>
      </c>
    </row>
    <row r="79" spans="1:11" x14ac:dyDescent="0.25">
      <c r="A79" s="4">
        <v>78</v>
      </c>
      <c r="B79" s="2">
        <v>43</v>
      </c>
      <c r="C79" s="2" t="s">
        <v>15</v>
      </c>
      <c r="D79" s="2">
        <v>70</v>
      </c>
      <c r="E79" s="2">
        <v>158</v>
      </c>
      <c r="F79" s="2">
        <v>28</v>
      </c>
      <c r="G79" s="2">
        <v>2250</v>
      </c>
      <c r="H79" s="2">
        <v>2.2000000000000002</v>
      </c>
      <c r="I79" s="2">
        <v>5.4</v>
      </c>
      <c r="J79" s="2">
        <v>8.6</v>
      </c>
      <c r="K79" s="5" t="s">
        <v>12</v>
      </c>
    </row>
    <row r="80" spans="1:11" x14ac:dyDescent="0.25">
      <c r="A80" s="3">
        <v>79</v>
      </c>
      <c r="B80" s="1">
        <v>40</v>
      </c>
      <c r="C80" s="1" t="s">
        <v>15</v>
      </c>
      <c r="D80" s="1">
        <v>79</v>
      </c>
      <c r="E80" s="1">
        <v>167</v>
      </c>
      <c r="F80" s="1">
        <v>28.3</v>
      </c>
      <c r="G80" s="1">
        <v>2263</v>
      </c>
      <c r="H80" s="1">
        <v>2.2999999999999998</v>
      </c>
      <c r="I80" s="1">
        <v>6.3</v>
      </c>
      <c r="J80" s="1">
        <v>6.8</v>
      </c>
      <c r="K80" s="5" t="s">
        <v>12</v>
      </c>
    </row>
    <row r="81" spans="1:11" x14ac:dyDescent="0.25">
      <c r="A81" s="4">
        <v>80</v>
      </c>
      <c r="B81" s="2">
        <v>21</v>
      </c>
      <c r="C81" s="2" t="s">
        <v>15</v>
      </c>
      <c r="D81" s="2">
        <v>95</v>
      </c>
      <c r="E81" s="2">
        <v>181</v>
      </c>
      <c r="F81" s="2">
        <v>29</v>
      </c>
      <c r="G81" s="2">
        <v>2091</v>
      </c>
      <c r="H81" s="2">
        <v>3.7</v>
      </c>
      <c r="I81" s="2">
        <v>5.4</v>
      </c>
      <c r="J81" s="2">
        <v>6.7</v>
      </c>
      <c r="K81" s="5" t="s">
        <v>12</v>
      </c>
    </row>
    <row r="82" spans="1:11" x14ac:dyDescent="0.25">
      <c r="A82" s="3">
        <v>81</v>
      </c>
      <c r="B82" s="1">
        <v>22</v>
      </c>
      <c r="C82" s="1" t="s">
        <v>11</v>
      </c>
      <c r="D82" s="1">
        <v>85</v>
      </c>
      <c r="E82" s="1">
        <v>190</v>
      </c>
      <c r="F82" s="1">
        <v>23.5</v>
      </c>
      <c r="G82" s="1">
        <v>1844</v>
      </c>
      <c r="H82" s="1">
        <v>2.8</v>
      </c>
      <c r="I82" s="1">
        <v>5.2</v>
      </c>
      <c r="J82" s="1">
        <v>7.7</v>
      </c>
      <c r="K82" s="5" t="s">
        <v>13</v>
      </c>
    </row>
    <row r="83" spans="1:11" x14ac:dyDescent="0.25">
      <c r="A83" s="4">
        <v>82</v>
      </c>
      <c r="B83" s="2">
        <v>51</v>
      </c>
      <c r="C83" s="2" t="s">
        <v>15</v>
      </c>
      <c r="D83" s="2">
        <v>78</v>
      </c>
      <c r="E83" s="2">
        <v>168</v>
      </c>
      <c r="F83" s="2">
        <v>27.6</v>
      </c>
      <c r="G83" s="2">
        <v>2660</v>
      </c>
      <c r="H83" s="2">
        <v>2.8</v>
      </c>
      <c r="I83" s="2">
        <v>8.8000000000000007</v>
      </c>
      <c r="J83" s="2">
        <v>8.8000000000000007</v>
      </c>
      <c r="K83" s="5" t="s">
        <v>12</v>
      </c>
    </row>
    <row r="84" spans="1:11" x14ac:dyDescent="0.25">
      <c r="A84" s="3">
        <v>83</v>
      </c>
      <c r="B84" s="1">
        <v>36</v>
      </c>
      <c r="C84" s="1" t="s">
        <v>11</v>
      </c>
      <c r="D84" s="1">
        <v>88</v>
      </c>
      <c r="E84" s="1">
        <v>177</v>
      </c>
      <c r="F84" s="1">
        <v>28.1</v>
      </c>
      <c r="G84" s="1">
        <v>2886</v>
      </c>
      <c r="H84" s="1">
        <v>2.2000000000000002</v>
      </c>
      <c r="I84" s="1">
        <v>9</v>
      </c>
      <c r="J84" s="1">
        <v>7.2</v>
      </c>
      <c r="K84" s="5" t="s">
        <v>12</v>
      </c>
    </row>
    <row r="85" spans="1:11" x14ac:dyDescent="0.25">
      <c r="A85" s="4">
        <v>84</v>
      </c>
      <c r="B85" s="2">
        <v>28</v>
      </c>
      <c r="C85" s="2" t="s">
        <v>11</v>
      </c>
      <c r="D85" s="2">
        <v>64</v>
      </c>
      <c r="E85" s="2">
        <v>178</v>
      </c>
      <c r="F85" s="2">
        <v>20.2</v>
      </c>
      <c r="G85" s="2">
        <v>2239</v>
      </c>
      <c r="H85" s="2">
        <v>2.9</v>
      </c>
      <c r="I85" s="2">
        <v>1.3</v>
      </c>
      <c r="J85" s="2">
        <v>5.5</v>
      </c>
      <c r="K85" s="5" t="s">
        <v>13</v>
      </c>
    </row>
    <row r="86" spans="1:11" x14ac:dyDescent="0.25">
      <c r="A86" s="9">
        <v>85</v>
      </c>
      <c r="B86" s="10">
        <v>60</v>
      </c>
      <c r="C86" s="10" t="s">
        <v>11</v>
      </c>
      <c r="D86" s="10">
        <v>66</v>
      </c>
      <c r="E86" s="10">
        <v>186</v>
      </c>
      <c r="F86" s="10">
        <v>19.100000000000001</v>
      </c>
      <c r="G86" s="10">
        <v>2563</v>
      </c>
      <c r="H86" s="10">
        <v>2.9</v>
      </c>
      <c r="I86" s="10">
        <v>4.5</v>
      </c>
      <c r="J86" s="10">
        <v>8.1999999999999993</v>
      </c>
      <c r="K86" s="11" t="s">
        <v>13</v>
      </c>
    </row>
  </sheetData>
  <pageMargins left="0.7" right="0.7" top="0.75" bottom="0.75" header="0.3" footer="0.3"/>
  <pageSetup paperSize="9" orientation="portrait" horizontalDpi="0"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I57"/>
  <sheetViews>
    <sheetView topLeftCell="D34" zoomScale="90" zoomScaleNormal="90" workbookViewId="0">
      <selection activeCell="I44" sqref="I44"/>
    </sheetView>
  </sheetViews>
  <sheetFormatPr defaultRowHeight="15" x14ac:dyDescent="0.25"/>
  <cols>
    <col min="1" max="1" width="14.5703125" bestFit="1" customWidth="1"/>
    <col min="2" max="2" width="14.7109375" bestFit="1" customWidth="1"/>
    <col min="3" max="3" width="23.42578125" bestFit="1" customWidth="1"/>
    <col min="4" max="4" width="17.7109375" bestFit="1" customWidth="1"/>
    <col min="5" max="5" width="25" bestFit="1" customWidth="1"/>
    <col min="6" max="6" width="13.28515625" bestFit="1" customWidth="1"/>
    <col min="7" max="7" width="25" bestFit="1" customWidth="1"/>
    <col min="8" max="8" width="29.140625" bestFit="1" customWidth="1"/>
    <col min="9" max="9" width="25.85546875" bestFit="1" customWidth="1"/>
    <col min="10" max="38" width="3.28515625" bestFit="1" customWidth="1"/>
    <col min="39" max="39" width="4.42578125" bestFit="1" customWidth="1"/>
    <col min="40" max="91" width="3.28515625" bestFit="1" customWidth="1"/>
    <col min="92" max="92" width="11.28515625" bestFit="1" customWidth="1"/>
  </cols>
  <sheetData>
    <row r="2" spans="1:9" x14ac:dyDescent="0.25">
      <c r="B2" s="14" t="s">
        <v>19</v>
      </c>
      <c r="F2" s="14" t="s">
        <v>17</v>
      </c>
      <c r="G2" t="s">
        <v>20</v>
      </c>
    </row>
    <row r="3" spans="1:9" x14ac:dyDescent="0.25">
      <c r="A3" s="14" t="s">
        <v>17</v>
      </c>
      <c r="B3" t="s">
        <v>21</v>
      </c>
      <c r="C3" t="s">
        <v>22</v>
      </c>
      <c r="F3" s="12" t="s">
        <v>13</v>
      </c>
      <c r="G3">
        <v>27</v>
      </c>
    </row>
    <row r="4" spans="1:9" x14ac:dyDescent="0.25">
      <c r="A4" s="12" t="s">
        <v>13</v>
      </c>
      <c r="B4">
        <v>21.596296296296291</v>
      </c>
      <c r="C4">
        <v>2356.3333333333335</v>
      </c>
      <c r="F4" s="12" t="s">
        <v>14</v>
      </c>
      <c r="G4">
        <v>24</v>
      </c>
    </row>
    <row r="5" spans="1:9" x14ac:dyDescent="0.25">
      <c r="A5" s="13" t="s">
        <v>11</v>
      </c>
      <c r="B5">
        <v>21.206250000000001</v>
      </c>
      <c r="C5">
        <v>2372.4375</v>
      </c>
      <c r="F5" s="12" t="s">
        <v>12</v>
      </c>
      <c r="G5">
        <v>22</v>
      </c>
    </row>
    <row r="6" spans="1:9" x14ac:dyDescent="0.25">
      <c r="A6" s="15" t="s">
        <v>25</v>
      </c>
      <c r="B6">
        <v>20.866666666666667</v>
      </c>
      <c r="C6">
        <v>2331.1666666666665</v>
      </c>
      <c r="F6" s="12" t="s">
        <v>16</v>
      </c>
      <c r="G6">
        <v>12</v>
      </c>
    </row>
    <row r="7" spans="1:9" x14ac:dyDescent="0.25">
      <c r="A7" s="15" t="s">
        <v>26</v>
      </c>
      <c r="B7">
        <v>20.880000000000003</v>
      </c>
      <c r="C7">
        <v>2398.4</v>
      </c>
      <c r="F7" s="12" t="s">
        <v>18</v>
      </c>
      <c r="G7">
        <v>85</v>
      </c>
    </row>
    <row r="8" spans="1:9" x14ac:dyDescent="0.25">
      <c r="A8" s="15" t="s">
        <v>27</v>
      </c>
      <c r="B8">
        <v>24.5</v>
      </c>
      <c r="C8">
        <v>2214</v>
      </c>
    </row>
    <row r="9" spans="1:9" x14ac:dyDescent="0.25">
      <c r="A9" s="15" t="s">
        <v>28</v>
      </c>
      <c r="B9">
        <v>23.6</v>
      </c>
      <c r="C9">
        <v>2475</v>
      </c>
    </row>
    <row r="10" spans="1:9" x14ac:dyDescent="0.25">
      <c r="A10" s="15" t="s">
        <v>30</v>
      </c>
      <c r="B10">
        <v>21.25</v>
      </c>
      <c r="C10">
        <v>2364</v>
      </c>
    </row>
    <row r="11" spans="1:9" x14ac:dyDescent="0.25">
      <c r="A11" s="15" t="s">
        <v>31</v>
      </c>
      <c r="B11">
        <v>19.100000000000001</v>
      </c>
      <c r="C11">
        <v>2563</v>
      </c>
    </row>
    <row r="12" spans="1:9" x14ac:dyDescent="0.25">
      <c r="A12" s="13" t="s">
        <v>15</v>
      </c>
      <c r="B12">
        <v>22.163636363636368</v>
      </c>
      <c r="C12">
        <v>2332.909090909091</v>
      </c>
    </row>
    <row r="13" spans="1:9" x14ac:dyDescent="0.25">
      <c r="A13" s="15" t="s">
        <v>25</v>
      </c>
      <c r="B13">
        <v>22.333333333333332</v>
      </c>
      <c r="C13">
        <v>2499.3333333333335</v>
      </c>
    </row>
    <row r="14" spans="1:9" x14ac:dyDescent="0.25">
      <c r="A14" s="15" t="s">
        <v>26</v>
      </c>
      <c r="B14">
        <v>21.049999999999997</v>
      </c>
      <c r="C14">
        <v>2428</v>
      </c>
      <c r="G14" s="14" t="s">
        <v>19</v>
      </c>
    </row>
    <row r="15" spans="1:9" x14ac:dyDescent="0.25">
      <c r="A15" s="15" t="s">
        <v>27</v>
      </c>
      <c r="B15">
        <v>22.8</v>
      </c>
      <c r="C15">
        <v>2249</v>
      </c>
      <c r="F15" s="14" t="s">
        <v>17</v>
      </c>
      <c r="G15" t="s">
        <v>21</v>
      </c>
      <c r="H15" t="s">
        <v>24</v>
      </c>
      <c r="I15" t="s">
        <v>23</v>
      </c>
    </row>
    <row r="16" spans="1:9" x14ac:dyDescent="0.25">
      <c r="A16" s="15" t="s">
        <v>29</v>
      </c>
      <c r="B16">
        <v>24</v>
      </c>
      <c r="C16">
        <v>1827</v>
      </c>
      <c r="F16" s="12" t="s">
        <v>11</v>
      </c>
      <c r="G16">
        <v>26.376315789473686</v>
      </c>
      <c r="H16">
        <v>6.7210526315789476</v>
      </c>
      <c r="I16">
        <v>5.3789473684210529</v>
      </c>
    </row>
    <row r="17" spans="1:9" x14ac:dyDescent="0.25">
      <c r="A17" s="15" t="s">
        <v>30</v>
      </c>
      <c r="B17">
        <v>22.8</v>
      </c>
      <c r="C17">
        <v>1973</v>
      </c>
      <c r="F17" s="12" t="s">
        <v>15</v>
      </c>
      <c r="G17">
        <v>26.248936170212758</v>
      </c>
      <c r="H17">
        <v>6.8489361702127658</v>
      </c>
      <c r="I17">
        <v>5.285106382978725</v>
      </c>
    </row>
    <row r="18" spans="1:9" x14ac:dyDescent="0.25">
      <c r="A18" s="15" t="s">
        <v>31</v>
      </c>
      <c r="B18">
        <v>21.15</v>
      </c>
      <c r="C18">
        <v>2505</v>
      </c>
      <c r="F18" s="12" t="s">
        <v>18</v>
      </c>
      <c r="G18">
        <v>26.305882352941175</v>
      </c>
      <c r="H18">
        <v>6.7917647058823514</v>
      </c>
      <c r="I18">
        <v>5.3270588235294092</v>
      </c>
    </row>
    <row r="19" spans="1:9" x14ac:dyDescent="0.25">
      <c r="A19" s="12" t="s">
        <v>14</v>
      </c>
      <c r="B19">
        <v>35.145833333333336</v>
      </c>
      <c r="C19">
        <v>2552.625</v>
      </c>
    </row>
    <row r="20" spans="1:9" x14ac:dyDescent="0.25">
      <c r="A20" s="13" t="s">
        <v>11</v>
      </c>
      <c r="B20">
        <v>34.708333333333336</v>
      </c>
      <c r="C20">
        <v>2457.5</v>
      </c>
    </row>
    <row r="21" spans="1:9" x14ac:dyDescent="0.25">
      <c r="A21" s="15" t="s">
        <v>25</v>
      </c>
      <c r="B21">
        <v>39.549999999999997</v>
      </c>
      <c r="C21">
        <v>2336</v>
      </c>
    </row>
    <row r="22" spans="1:9" x14ac:dyDescent="0.25">
      <c r="A22" s="15" t="s">
        <v>27</v>
      </c>
      <c r="B22">
        <v>33.233333333333327</v>
      </c>
      <c r="C22">
        <v>2370.6666666666665</v>
      </c>
    </row>
    <row r="23" spans="1:9" x14ac:dyDescent="0.25">
      <c r="A23" s="15" t="s">
        <v>28</v>
      </c>
      <c r="B23">
        <v>32.200000000000003</v>
      </c>
      <c r="C23">
        <v>2413</v>
      </c>
    </row>
    <row r="24" spans="1:9" x14ac:dyDescent="0.25">
      <c r="A24" s="15" t="s">
        <v>30</v>
      </c>
      <c r="B24">
        <v>35.466666666666669</v>
      </c>
      <c r="C24">
        <v>2499</v>
      </c>
    </row>
    <row r="25" spans="1:9" x14ac:dyDescent="0.25">
      <c r="A25" s="15" t="s">
        <v>31</v>
      </c>
      <c r="B25">
        <v>33.450000000000003</v>
      </c>
      <c r="C25">
        <v>2691.5</v>
      </c>
    </row>
    <row r="26" spans="1:9" x14ac:dyDescent="0.25">
      <c r="A26" s="13" t="s">
        <v>15</v>
      </c>
      <c r="B26">
        <v>35.583333333333336</v>
      </c>
      <c r="C26">
        <v>2647.75</v>
      </c>
    </row>
    <row r="27" spans="1:9" x14ac:dyDescent="0.25">
      <c r="A27" s="15" t="s">
        <v>25</v>
      </c>
      <c r="B27">
        <v>36</v>
      </c>
      <c r="C27">
        <v>2581</v>
      </c>
    </row>
    <row r="28" spans="1:9" x14ac:dyDescent="0.25">
      <c r="A28" s="15" t="s">
        <v>26</v>
      </c>
      <c r="B28">
        <v>37.299999999999997</v>
      </c>
      <c r="C28">
        <v>2581.5</v>
      </c>
    </row>
    <row r="29" spans="1:9" x14ac:dyDescent="0.25">
      <c r="A29" s="15" t="s">
        <v>27</v>
      </c>
      <c r="B29">
        <v>38.700000000000003</v>
      </c>
      <c r="C29">
        <v>2891</v>
      </c>
    </row>
    <row r="30" spans="1:9" x14ac:dyDescent="0.25">
      <c r="A30" s="15" t="s">
        <v>29</v>
      </c>
      <c r="B30">
        <v>33.533333333333339</v>
      </c>
      <c r="C30">
        <v>2883.3333333333335</v>
      </c>
    </row>
    <row r="31" spans="1:9" x14ac:dyDescent="0.25">
      <c r="A31" s="15" t="s">
        <v>30</v>
      </c>
      <c r="B31">
        <v>37.85</v>
      </c>
      <c r="C31">
        <v>2505</v>
      </c>
    </row>
    <row r="32" spans="1:9" x14ac:dyDescent="0.25">
      <c r="A32" s="15" t="s">
        <v>31</v>
      </c>
      <c r="B32">
        <v>32.700000000000003</v>
      </c>
      <c r="C32">
        <v>2448.5</v>
      </c>
    </row>
    <row r="33" spans="1:8" x14ac:dyDescent="0.25">
      <c r="A33" s="12" t="s">
        <v>12</v>
      </c>
      <c r="B33">
        <v>27.468181818181822</v>
      </c>
      <c r="C33">
        <v>2473.090909090909</v>
      </c>
    </row>
    <row r="34" spans="1:8" x14ac:dyDescent="0.25">
      <c r="A34" s="13" t="s">
        <v>11</v>
      </c>
      <c r="B34">
        <v>27.757142857142856</v>
      </c>
      <c r="C34">
        <v>2435.2857142857142</v>
      </c>
    </row>
    <row r="35" spans="1:8" x14ac:dyDescent="0.25">
      <c r="A35" s="15" t="s">
        <v>26</v>
      </c>
      <c r="B35">
        <v>25.3</v>
      </c>
      <c r="C35">
        <v>2504</v>
      </c>
      <c r="G35" s="14" t="s">
        <v>19</v>
      </c>
    </row>
    <row r="36" spans="1:8" x14ac:dyDescent="0.25">
      <c r="A36" s="15" t="s">
        <v>28</v>
      </c>
      <c r="B36">
        <v>26.75</v>
      </c>
      <c r="C36">
        <v>2633.5</v>
      </c>
      <c r="F36" s="14" t="s">
        <v>17</v>
      </c>
      <c r="G36" t="s">
        <v>24</v>
      </c>
      <c r="H36" t="s">
        <v>23</v>
      </c>
    </row>
    <row r="37" spans="1:8" x14ac:dyDescent="0.25">
      <c r="A37" s="15" t="s">
        <v>30</v>
      </c>
      <c r="B37">
        <v>28.8</v>
      </c>
      <c r="C37">
        <v>2431</v>
      </c>
      <c r="F37" s="12" t="s">
        <v>25</v>
      </c>
      <c r="G37">
        <v>6.988235294117648</v>
      </c>
      <c r="H37">
        <v>6.3941176470588248</v>
      </c>
    </row>
    <row r="38" spans="1:8" x14ac:dyDescent="0.25">
      <c r="A38" s="15" t="s">
        <v>31</v>
      </c>
      <c r="B38">
        <v>29.1</v>
      </c>
      <c r="C38">
        <v>1983</v>
      </c>
      <c r="F38" s="12" t="s">
        <v>26</v>
      </c>
      <c r="G38">
        <v>5.9928571428571429</v>
      </c>
      <c r="H38">
        <v>4.8071428571428569</v>
      </c>
    </row>
    <row r="39" spans="1:8" x14ac:dyDescent="0.25">
      <c r="A39" s="13" t="s">
        <v>15</v>
      </c>
      <c r="B39">
        <v>27.333333333333339</v>
      </c>
      <c r="C39">
        <v>2490.7333333333331</v>
      </c>
      <c r="F39" s="12" t="s">
        <v>27</v>
      </c>
      <c r="G39">
        <v>6.4888888888888889</v>
      </c>
      <c r="H39">
        <v>3.3777777777777778</v>
      </c>
    </row>
    <row r="40" spans="1:8" x14ac:dyDescent="0.25">
      <c r="A40" s="15" t="s">
        <v>25</v>
      </c>
      <c r="B40">
        <v>27.466666666666669</v>
      </c>
      <c r="C40">
        <v>2682.6666666666665</v>
      </c>
      <c r="F40" s="12" t="s">
        <v>28</v>
      </c>
      <c r="G40">
        <v>6.8666666666666663</v>
      </c>
      <c r="H40">
        <v>4.5222222222222221</v>
      </c>
    </row>
    <row r="41" spans="1:8" x14ac:dyDescent="0.25">
      <c r="A41" s="15" t="s">
        <v>26</v>
      </c>
      <c r="B41">
        <v>25.9</v>
      </c>
      <c r="C41">
        <v>2351</v>
      </c>
      <c r="F41" s="12" t="s">
        <v>29</v>
      </c>
      <c r="G41">
        <v>7.4874999999999998</v>
      </c>
      <c r="H41">
        <v>7.1875</v>
      </c>
    </row>
    <row r="42" spans="1:8" x14ac:dyDescent="0.25">
      <c r="A42" s="15" t="s">
        <v>28</v>
      </c>
      <c r="B42">
        <v>28.15</v>
      </c>
      <c r="C42">
        <v>2449.5</v>
      </c>
      <c r="F42" s="12" t="s">
        <v>30</v>
      </c>
      <c r="G42">
        <v>6.8684210526315788</v>
      </c>
      <c r="H42">
        <v>5.3842105263157887</v>
      </c>
    </row>
    <row r="43" spans="1:8" x14ac:dyDescent="0.25">
      <c r="A43" s="15" t="s">
        <v>29</v>
      </c>
      <c r="B43">
        <v>26.9</v>
      </c>
      <c r="C43">
        <v>2473</v>
      </c>
      <c r="F43" s="12" t="s">
        <v>31</v>
      </c>
      <c r="G43">
        <v>7.1111111111111107</v>
      </c>
      <c r="H43">
        <v>5.1000000000000005</v>
      </c>
    </row>
    <row r="44" spans="1:8" x14ac:dyDescent="0.25">
      <c r="A44" s="15" t="s">
        <v>30</v>
      </c>
      <c r="B44">
        <v>27.433333333333334</v>
      </c>
      <c r="C44">
        <v>2376.6666666666665</v>
      </c>
      <c r="F44" s="12" t="s">
        <v>18</v>
      </c>
      <c r="G44">
        <v>6.7917647058823523</v>
      </c>
      <c r="H44">
        <v>5.3270588235294145</v>
      </c>
    </row>
    <row r="45" spans="1:8" x14ac:dyDescent="0.25">
      <c r="A45" s="15" t="s">
        <v>31</v>
      </c>
      <c r="B45">
        <v>27</v>
      </c>
      <c r="C45">
        <v>2857</v>
      </c>
    </row>
    <row r="46" spans="1:8" x14ac:dyDescent="0.25">
      <c r="A46" s="12" t="s">
        <v>16</v>
      </c>
      <c r="B46">
        <v>17.091666666666665</v>
      </c>
      <c r="C46">
        <v>2302.5</v>
      </c>
    </row>
    <row r="47" spans="1:8" x14ac:dyDescent="0.25">
      <c r="A47" s="13" t="s">
        <v>11</v>
      </c>
      <c r="B47">
        <v>17.400000000000002</v>
      </c>
      <c r="C47">
        <v>2413.3333333333335</v>
      </c>
    </row>
    <row r="48" spans="1:8" x14ac:dyDescent="0.25">
      <c r="A48" s="15" t="s">
        <v>25</v>
      </c>
      <c r="B48">
        <v>18.100000000000001</v>
      </c>
      <c r="C48">
        <v>2365</v>
      </c>
    </row>
    <row r="49" spans="1:3" x14ac:dyDescent="0.25">
      <c r="A49" s="15" t="s">
        <v>27</v>
      </c>
      <c r="B49">
        <v>17.899999999999999</v>
      </c>
      <c r="C49">
        <v>2780</v>
      </c>
    </row>
    <row r="50" spans="1:3" x14ac:dyDescent="0.25">
      <c r="A50" s="15" t="s">
        <v>29</v>
      </c>
      <c r="B50">
        <v>16.2</v>
      </c>
      <c r="C50">
        <v>2095</v>
      </c>
    </row>
    <row r="51" spans="1:3" x14ac:dyDescent="0.25">
      <c r="A51" s="13" t="s">
        <v>15</v>
      </c>
      <c r="B51">
        <v>16.988888888888887</v>
      </c>
      <c r="C51">
        <v>2265.5555555555557</v>
      </c>
    </row>
    <row r="52" spans="1:3" x14ac:dyDescent="0.25">
      <c r="A52" s="15" t="s">
        <v>26</v>
      </c>
      <c r="B52">
        <v>16.833333333333332</v>
      </c>
      <c r="C52">
        <v>2376.3333333333335</v>
      </c>
    </row>
    <row r="53" spans="1:3" x14ac:dyDescent="0.25">
      <c r="A53" s="15" t="s">
        <v>27</v>
      </c>
      <c r="B53">
        <v>18</v>
      </c>
      <c r="C53">
        <v>2228</v>
      </c>
    </row>
    <row r="54" spans="1:3" x14ac:dyDescent="0.25">
      <c r="A54" s="15" t="s">
        <v>28</v>
      </c>
      <c r="B54">
        <v>16.200000000000003</v>
      </c>
      <c r="C54">
        <v>2165</v>
      </c>
    </row>
    <row r="55" spans="1:3" x14ac:dyDescent="0.25">
      <c r="A55" s="15" t="s">
        <v>29</v>
      </c>
      <c r="B55">
        <v>18.3</v>
      </c>
      <c r="C55">
        <v>2044</v>
      </c>
    </row>
    <row r="56" spans="1:3" x14ac:dyDescent="0.25">
      <c r="A56" s="15" t="s">
        <v>30</v>
      </c>
      <c r="B56">
        <v>16.850000000000001</v>
      </c>
      <c r="C56">
        <v>2329.5</v>
      </c>
    </row>
    <row r="57" spans="1:3" x14ac:dyDescent="0.25">
      <c r="A57" s="12" t="s">
        <v>18</v>
      </c>
      <c r="B57">
        <v>26.305882352941175</v>
      </c>
      <c r="C57">
        <v>2434.3764705882354</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abSelected="1" zoomScale="70" zoomScaleNormal="70" workbookViewId="0">
      <selection activeCell="H90" sqref="H9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2026-04-14T07:29:02Z</dcterms:modified>
</cp:coreProperties>
</file>